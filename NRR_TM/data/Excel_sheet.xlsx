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Nitrogen_activation\rajaraman\office\ofifice\word\Paper\TOTAL_paper\Extended\New\GR\Submit\Revision\new\Github\"/>
    </mc:Choice>
  </mc:AlternateContent>
  <xr:revisionPtr revIDLastSave="0" documentId="13_ncr:1_{689FDA12-0FEF-4065-9B15-F0132E4AC2B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8" i="3" l="1"/>
  <c r="Z28" i="3"/>
  <c r="R28" i="3"/>
  <c r="Q28" i="3"/>
  <c r="AA27" i="3"/>
  <c r="Z27" i="3"/>
  <c r="R27" i="3"/>
  <c r="Q27" i="3"/>
  <c r="AA26" i="3"/>
  <c r="Z26" i="3"/>
  <c r="R26" i="3"/>
  <c r="Q26" i="3"/>
  <c r="AA25" i="3"/>
  <c r="Z25" i="3"/>
  <c r="R25" i="3"/>
  <c r="Q25" i="3"/>
  <c r="AA24" i="3"/>
  <c r="Z24" i="3"/>
  <c r="R24" i="3"/>
  <c r="Q24" i="3"/>
  <c r="AA23" i="3"/>
  <c r="Z23" i="3"/>
  <c r="R23" i="3"/>
  <c r="Q23" i="3"/>
  <c r="AA22" i="3"/>
  <c r="Z22" i="3"/>
  <c r="R22" i="3"/>
  <c r="Q22" i="3"/>
  <c r="AA21" i="3"/>
  <c r="Z21" i="3"/>
  <c r="R21" i="3"/>
  <c r="Q21" i="3"/>
  <c r="AA20" i="3"/>
  <c r="Z20" i="3"/>
  <c r="R20" i="3"/>
  <c r="Q20" i="3"/>
  <c r="AA19" i="3"/>
  <c r="Z19" i="3"/>
  <c r="R19" i="3"/>
  <c r="Q19" i="3"/>
  <c r="AA18" i="3"/>
  <c r="Z18" i="3"/>
  <c r="R18" i="3"/>
  <c r="Q18" i="3"/>
  <c r="AA17" i="3"/>
  <c r="Z17" i="3"/>
  <c r="R17" i="3"/>
  <c r="Q17" i="3"/>
  <c r="AA16" i="3"/>
  <c r="Z16" i="3"/>
  <c r="R16" i="3"/>
  <c r="Q16" i="3"/>
  <c r="AA15" i="3"/>
  <c r="Z15" i="3"/>
  <c r="R15" i="3"/>
  <c r="Q15" i="3"/>
  <c r="AA14" i="3"/>
  <c r="Z14" i="3"/>
  <c r="R14" i="3"/>
  <c r="Q14" i="3"/>
  <c r="AA13" i="3"/>
  <c r="Z13" i="3"/>
  <c r="R13" i="3"/>
  <c r="Q13" i="3"/>
  <c r="AA12" i="3"/>
  <c r="Z12" i="3"/>
  <c r="R12" i="3"/>
  <c r="Q12" i="3"/>
  <c r="AA11" i="3"/>
  <c r="Z11" i="3"/>
  <c r="R11" i="3"/>
  <c r="Q11" i="3"/>
  <c r="AA10" i="3"/>
  <c r="Z10" i="3"/>
  <c r="R10" i="3"/>
  <c r="Q10" i="3"/>
  <c r="AA9" i="3"/>
  <c r="Z9" i="3"/>
  <c r="R9" i="3"/>
  <c r="Q9" i="3"/>
  <c r="AA8" i="3"/>
  <c r="Z8" i="3"/>
  <c r="R8" i="3"/>
  <c r="Q8" i="3"/>
  <c r="AA7" i="3"/>
  <c r="Z7" i="3"/>
  <c r="R7" i="3"/>
  <c r="Q7" i="3"/>
  <c r="AA6" i="3"/>
  <c r="Z6" i="3"/>
  <c r="R6" i="3"/>
  <c r="Q6" i="3"/>
  <c r="AA5" i="3"/>
  <c r="Z5" i="3"/>
  <c r="R5" i="3"/>
  <c r="Q5" i="3"/>
  <c r="AA4" i="3"/>
  <c r="Z4" i="3"/>
  <c r="R4" i="3"/>
  <c r="Q4" i="3"/>
  <c r="AA3" i="3"/>
  <c r="Z3" i="3"/>
  <c r="R3" i="3"/>
  <c r="Q3" i="3"/>
  <c r="AA2" i="3"/>
  <c r="Z2" i="3"/>
  <c r="R2" i="3"/>
  <c r="Q2" i="3"/>
  <c r="AD28" i="3"/>
  <c r="AC28" i="3"/>
  <c r="AB28" i="3"/>
  <c r="AD27" i="3"/>
  <c r="AC27" i="3"/>
  <c r="AB27" i="3"/>
  <c r="AD26" i="3"/>
  <c r="AC26" i="3"/>
  <c r="AB26" i="3"/>
  <c r="AD25" i="3"/>
  <c r="AC25" i="3"/>
  <c r="AB25" i="3"/>
  <c r="AD24" i="3"/>
  <c r="AC24" i="3"/>
  <c r="AB24" i="3"/>
  <c r="AD23" i="3"/>
  <c r="AC23" i="3"/>
  <c r="AB23" i="3"/>
  <c r="AD22" i="3"/>
  <c r="AC22" i="3"/>
  <c r="AB22" i="3"/>
  <c r="AD21" i="3"/>
  <c r="AC21" i="3"/>
  <c r="AB21" i="3"/>
  <c r="AD20" i="3"/>
  <c r="AC20" i="3"/>
  <c r="AB20" i="3"/>
  <c r="AD19" i="3"/>
  <c r="AC19" i="3"/>
  <c r="AB19" i="3"/>
  <c r="AD18" i="3"/>
  <c r="AC18" i="3"/>
  <c r="AB18" i="3"/>
  <c r="AD17" i="3"/>
  <c r="AC17" i="3"/>
  <c r="AB17" i="3"/>
  <c r="AD16" i="3"/>
  <c r="AC16" i="3"/>
  <c r="AB16" i="3"/>
  <c r="AD15" i="3"/>
  <c r="AC15" i="3"/>
  <c r="AB15" i="3"/>
  <c r="AD14" i="3"/>
  <c r="AC14" i="3"/>
  <c r="AB14" i="3"/>
  <c r="AD13" i="3"/>
  <c r="AC13" i="3"/>
  <c r="AB13" i="3"/>
  <c r="AD12" i="3"/>
  <c r="AC12" i="3"/>
  <c r="AB12" i="3"/>
  <c r="AD11" i="3"/>
  <c r="AC11" i="3"/>
  <c r="AB11" i="3"/>
  <c r="AD10" i="3"/>
  <c r="AC10" i="3"/>
  <c r="AB10" i="3"/>
  <c r="AD9" i="3"/>
  <c r="AC9" i="3"/>
  <c r="AB9" i="3"/>
  <c r="AD8" i="3"/>
  <c r="AC8" i="3"/>
  <c r="AB8" i="3"/>
  <c r="AD7" i="3"/>
  <c r="AC7" i="3"/>
  <c r="AB7" i="3"/>
  <c r="AD6" i="3"/>
  <c r="AC6" i="3"/>
  <c r="AB6" i="3"/>
  <c r="AD5" i="3"/>
  <c r="AC5" i="3"/>
  <c r="AB5" i="3"/>
  <c r="AD4" i="3"/>
  <c r="AC4" i="3"/>
  <c r="AB4" i="3"/>
  <c r="AD3" i="3"/>
  <c r="AC3" i="3"/>
  <c r="AB3" i="3"/>
  <c r="AD2" i="3"/>
  <c r="AC2" i="3"/>
  <c r="A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Nettemchandra sekhar</author>
  </authors>
  <commentList>
    <comment ref="AA28" authorId="0" shapeId="0" xr:uid="{B8990603-BD01-45C8-9230-1A38BE89F272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edietd.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Nettemchandra sekhar</author>
  </authors>
  <commentList>
    <comment ref="T6" authorId="0" shapeId="0" xr:uid="{BD561EF4-8CBB-4736-BFCD-ECF9356B7F7D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Int and TS enerhy lower. Than int.</t>
        </r>
      </text>
    </comment>
    <comment ref="V6" authorId="0" shapeId="0" xr:uid="{8A5C137E-1432-4CA6-9B0B-717CD8BC063E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edited.</t>
        </r>
      </text>
    </comment>
    <comment ref="T15" authorId="0" shapeId="0" xr:uid="{F59067DC-A6A7-43A4-9FEA-03DBAADA7AA0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Int and TS enerhy lower. Than int.</t>
        </r>
      </text>
    </comment>
    <comment ref="V15" authorId="0" shapeId="0" xr:uid="{919D47DE-87B4-4F80-8624-B65704076DEE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edited.</t>
        </r>
      </text>
    </comment>
    <comment ref="Y22" authorId="0" shapeId="0" xr:uid="{367A1A82-E6D0-4E8B-B9F1-B4AB96141AE8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quartet not get
</t>
        </r>
      </text>
    </comment>
    <comment ref="T26" authorId="0" shapeId="0" xr:uid="{D5D383AF-12F4-4446-BC13-EDBDE1645FC9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Int and TS enerhy lower. Than int.</t>
        </r>
      </text>
    </comment>
    <comment ref="V26" authorId="0" shapeId="0" xr:uid="{6F8B9726-C2B0-4EB2-B4CA-251BB669E578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Edietd.</t>
        </r>
      </text>
    </comment>
    <comment ref="V28" authorId="0" shapeId="0" xr:uid="{579BA370-7FDB-4874-999F-0EBB880E3948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edietd.</t>
        </r>
      </text>
    </comment>
  </commentList>
</comments>
</file>

<file path=xl/sharedStrings.xml><?xml version="1.0" encoding="utf-8"?>
<sst xmlns="http://schemas.openxmlformats.org/spreadsheetml/2006/main" count="129" uniqueCount="72">
  <si>
    <t>T01</t>
  </si>
  <si>
    <t>T02</t>
  </si>
  <si>
    <t>T03</t>
  </si>
  <si>
    <t>F01</t>
  </si>
  <si>
    <t>F02</t>
  </si>
  <si>
    <t>F03</t>
  </si>
  <si>
    <t>F04</t>
  </si>
  <si>
    <t>F05</t>
  </si>
  <si>
    <t>F06</t>
  </si>
  <si>
    <t>F07</t>
  </si>
  <si>
    <t>C1-M-C2</t>
  </si>
  <si>
    <t>F08</t>
  </si>
  <si>
    <t>F09</t>
  </si>
  <si>
    <t>isomer ground state</t>
  </si>
  <si>
    <t>F10</t>
  </si>
  <si>
    <t>F11</t>
  </si>
  <si>
    <t>F12</t>
  </si>
  <si>
    <t>F13</t>
  </si>
  <si>
    <t>F14</t>
  </si>
  <si>
    <t>F15</t>
  </si>
  <si>
    <t>F16</t>
  </si>
  <si>
    <t>F00</t>
  </si>
  <si>
    <t>Sc-Cy</t>
  </si>
  <si>
    <t>Ti-Cy</t>
  </si>
  <si>
    <t>V-Cy</t>
  </si>
  <si>
    <t>Cr-Cy</t>
  </si>
  <si>
    <t>Mn-Cy</t>
  </si>
  <si>
    <t>Fe-Cy</t>
  </si>
  <si>
    <t>Co-Cy</t>
  </si>
  <si>
    <t>Ni-Cy</t>
  </si>
  <si>
    <t>Cu-Cy</t>
  </si>
  <si>
    <t>Sc-Me</t>
  </si>
  <si>
    <t>Ti-Me</t>
  </si>
  <si>
    <t>V-Me</t>
  </si>
  <si>
    <t>Cr-Me</t>
  </si>
  <si>
    <t>Mn-Me</t>
  </si>
  <si>
    <t>Fe-Me</t>
  </si>
  <si>
    <t>Co-Me</t>
  </si>
  <si>
    <t>Ni-Me</t>
  </si>
  <si>
    <t>Cu-Me</t>
  </si>
  <si>
    <t>Sc-Et</t>
  </si>
  <si>
    <t>Ti-Et</t>
  </si>
  <si>
    <t>Cr-Et</t>
  </si>
  <si>
    <t>Mn-Et</t>
  </si>
  <si>
    <t>Fe-Et</t>
  </si>
  <si>
    <t>Co-Et</t>
  </si>
  <si>
    <t>Ni-Et</t>
  </si>
  <si>
    <t>Cu-Et</t>
  </si>
  <si>
    <t>V-Et</t>
  </si>
  <si>
    <t>BV</t>
  </si>
  <si>
    <t>T04</t>
  </si>
  <si>
    <t>T05</t>
  </si>
  <si>
    <t>T06</t>
  </si>
  <si>
    <t>T07</t>
  </si>
  <si>
    <t>F17</t>
  </si>
  <si>
    <t>F18</t>
  </si>
  <si>
    <t>cis-trans_isomeristaion</t>
  </si>
  <si>
    <t>electron transfer</t>
  </si>
  <si>
    <t>T08</t>
  </si>
  <si>
    <t>F19</t>
  </si>
  <si>
    <t>no of d-electrons</t>
  </si>
  <si>
    <t>T09</t>
  </si>
  <si>
    <t>T10</t>
  </si>
  <si>
    <t>Sum of HOMO-1,HOMO,LUMO,LUMO+1</t>
  </si>
  <si>
    <t>Sum of natural charges</t>
  </si>
  <si>
    <t>Sum of spin densities</t>
  </si>
  <si>
    <t xml:space="preserve">Avg of metal crabon of bond lengths </t>
  </si>
  <si>
    <t>N2bind</t>
  </si>
  <si>
    <t>total</t>
  </si>
  <si>
    <t>Avg of agostic inetractions</t>
  </si>
  <si>
    <t>dihedral</t>
  </si>
  <si>
    <t>N2_barier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</si>
</sst>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5" sqref="R5"/>
    </sheetView>
  </sheetViews>
  <sheetFormatPr defaultColWidth="9.140625" defaultRowHeight="23.25" x14ac:dyDescent="0.35"/>
  <cols>
    <col min="1" max="1" width="13.42578125" style="1" customWidth="1"/>
    <col min="2" max="2" width="12.7109375" style="1" bestFit="1" customWidth="1"/>
    <col min="3" max="3" width="7" style="1" bestFit="1" customWidth="1"/>
    <col min="4" max="4" width="13.7109375" style="1" customWidth="1"/>
    <col min="5" max="6" width="11" style="1" bestFit="1" customWidth="1"/>
    <col min="7" max="7" width="13.85546875" style="1" bestFit="1" customWidth="1"/>
    <col min="8" max="8" width="7" style="1" bestFit="1" customWidth="1"/>
    <col min="9" max="10" width="10.28515625" style="1" customWidth="1"/>
    <col min="11" max="11" width="11.85546875" style="1" customWidth="1"/>
    <col min="12" max="14" width="10.28515625" style="1" customWidth="1"/>
    <col min="15" max="15" width="13" style="1" customWidth="1"/>
    <col min="16" max="16" width="14.42578125" style="1" customWidth="1"/>
    <col min="17" max="17" width="11.5703125" style="1" customWidth="1"/>
    <col min="18" max="18" width="10.5703125" style="1" customWidth="1"/>
    <col min="19" max="19" width="12.7109375" style="2" bestFit="1" customWidth="1"/>
    <col min="20" max="20" width="12.7109375" style="1" bestFit="1" customWidth="1"/>
    <col min="21" max="21" width="13" style="1" customWidth="1"/>
    <col min="22" max="22" width="13.42578125" style="1" customWidth="1"/>
    <col min="23" max="23" width="16.140625" style="1" bestFit="1" customWidth="1"/>
    <col min="24" max="24" width="17.85546875" style="1" bestFit="1" customWidth="1"/>
    <col min="25" max="25" width="10.85546875" style="1" bestFit="1" customWidth="1"/>
    <col min="26" max="26" width="18" style="1" bestFit="1" customWidth="1"/>
    <col min="27" max="27" width="9.28515625" style="1" bestFit="1" customWidth="1"/>
    <col min="28" max="28" width="15.5703125" style="1" customWidth="1"/>
    <col min="29" max="16384" width="9.140625" style="1"/>
  </cols>
  <sheetData>
    <row r="1" spans="1:33" x14ac:dyDescent="0.35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2" t="s">
        <v>14</v>
      </c>
      <c r="L1" s="2" t="s">
        <v>0</v>
      </c>
      <c r="M1" s="1" t="s">
        <v>1</v>
      </c>
      <c r="N1" s="2" t="s">
        <v>2</v>
      </c>
      <c r="O1" s="2" t="s">
        <v>50</v>
      </c>
      <c r="Q1" s="2"/>
      <c r="S1" s="6"/>
      <c r="T1" s="6"/>
      <c r="U1" s="6"/>
      <c r="X1" s="2"/>
      <c r="AA1" s="2"/>
      <c r="AB1" s="2"/>
      <c r="AD1" s="2"/>
      <c r="AE1" s="2"/>
      <c r="AG1" s="2"/>
    </row>
    <row r="2" spans="1:33" x14ac:dyDescent="0.35">
      <c r="A2" s="2" t="s">
        <v>22</v>
      </c>
      <c r="B2" s="1">
        <v>117.27</v>
      </c>
      <c r="C2" s="1">
        <v>0</v>
      </c>
      <c r="D2" s="1">
        <v>2.2873999999999999</v>
      </c>
      <c r="E2" s="1">
        <v>69.239999999999995</v>
      </c>
      <c r="F2" s="1">
        <v>2.0870000000000002</v>
      </c>
      <c r="G2" s="1">
        <v>-0.221</v>
      </c>
      <c r="H2" s="1">
        <v>3</v>
      </c>
      <c r="I2" s="1">
        <v>-0.2671</v>
      </c>
      <c r="J2" s="1" t="e">
        <v>#DIV/0!</v>
      </c>
      <c r="K2" s="1">
        <v>-79.340999999999994</v>
      </c>
      <c r="L2" s="2">
        <v>16.884800540817423</v>
      </c>
      <c r="M2" s="2">
        <v>4.7512780820665768</v>
      </c>
      <c r="N2" s="2">
        <v>51.920890310048698</v>
      </c>
      <c r="O2" s="2">
        <v>73.556968932932705</v>
      </c>
      <c r="P2" s="2"/>
      <c r="Q2" s="2"/>
      <c r="S2" s="6"/>
      <c r="T2" s="6"/>
      <c r="U2" s="6"/>
      <c r="V2" s="2"/>
      <c r="X2" s="2"/>
      <c r="AA2" s="3"/>
      <c r="AB2" s="2"/>
      <c r="AD2" s="2"/>
      <c r="AE2" s="2"/>
      <c r="AG2" s="2"/>
    </row>
    <row r="3" spans="1:33" x14ac:dyDescent="0.35">
      <c r="A3" s="2" t="s">
        <v>23</v>
      </c>
      <c r="B3" s="1">
        <v>163.19999999999999</v>
      </c>
      <c r="C3" s="1">
        <v>0</v>
      </c>
      <c r="D3" s="1">
        <v>2.1644000000000001</v>
      </c>
      <c r="E3" s="1">
        <v>57.66</v>
      </c>
      <c r="F3" s="1">
        <v>4</v>
      </c>
      <c r="G3" s="1">
        <v>-0.57799999999999996</v>
      </c>
      <c r="H3" s="1">
        <v>4</v>
      </c>
      <c r="I3" s="1">
        <v>-0.26689999999999997</v>
      </c>
      <c r="J3" s="1">
        <v>3.1291624999999996</v>
      </c>
      <c r="K3" s="1">
        <v>-83.337000000000003</v>
      </c>
      <c r="L3" s="2">
        <v>0.74039099992160118</v>
      </c>
      <c r="M3" s="2">
        <v>-10.28026077303025</v>
      </c>
      <c r="N3" s="2">
        <v>34.042679335667799</v>
      </c>
      <c r="O3" s="2">
        <v>24.50280956255915</v>
      </c>
      <c r="P3" s="2"/>
      <c r="Q3" s="2"/>
      <c r="S3" s="6"/>
      <c r="T3" s="6"/>
      <c r="U3" s="6"/>
      <c r="V3" s="2"/>
      <c r="X3" s="2"/>
      <c r="AA3" s="2"/>
      <c r="AB3" s="2"/>
      <c r="AD3" s="2"/>
      <c r="AE3" s="2"/>
      <c r="AG3" s="2"/>
    </row>
    <row r="4" spans="1:33" x14ac:dyDescent="0.35">
      <c r="A4" s="2" t="s">
        <v>24</v>
      </c>
      <c r="B4" s="1">
        <v>156.44999999999999</v>
      </c>
      <c r="C4" s="1">
        <v>0</v>
      </c>
      <c r="D4" s="1">
        <v>2.1150000000000002</v>
      </c>
      <c r="E4" s="1">
        <v>60.54</v>
      </c>
      <c r="F4" s="1">
        <v>4.9349999999999987</v>
      </c>
      <c r="G4" s="1">
        <v>-0.59299999999999997</v>
      </c>
      <c r="H4" s="1">
        <v>5</v>
      </c>
      <c r="I4" s="1">
        <v>-0.27940000000000004</v>
      </c>
      <c r="J4" s="1">
        <v>3.0792975</v>
      </c>
      <c r="K4" s="1">
        <v>-62.179000000000002</v>
      </c>
      <c r="L4" s="2">
        <v>25.977694689679311</v>
      </c>
      <c r="M4" s="2">
        <v>-11.258653346619667</v>
      </c>
      <c r="N4" s="2">
        <v>39.842828915386917</v>
      </c>
      <c r="O4" s="2">
        <v>54.561870258446561</v>
      </c>
      <c r="P4" s="2"/>
      <c r="Q4" s="2"/>
      <c r="S4" s="6"/>
      <c r="T4" s="6"/>
      <c r="U4" s="6"/>
      <c r="V4" s="2"/>
      <c r="X4" s="2"/>
      <c r="AA4" s="2"/>
      <c r="AB4" s="2"/>
      <c r="AD4" s="2"/>
      <c r="AE4" s="2"/>
      <c r="AG4" s="2"/>
    </row>
    <row r="5" spans="1:33" x14ac:dyDescent="0.35">
      <c r="A5" s="2" t="s">
        <v>25</v>
      </c>
      <c r="B5" s="1">
        <v>179.11</v>
      </c>
      <c r="C5" s="1">
        <v>1</v>
      </c>
      <c r="D5" s="1">
        <v>2.1182999999999996</v>
      </c>
      <c r="E5" s="1">
        <v>60.55</v>
      </c>
      <c r="F5" s="1">
        <v>5.9350000000000005</v>
      </c>
      <c r="G5" s="1">
        <v>-0.57499999999999996</v>
      </c>
      <c r="H5" s="1">
        <v>6</v>
      </c>
      <c r="I5" s="1">
        <v>-0.2722</v>
      </c>
      <c r="J5" s="1">
        <v>3.0991899999999997</v>
      </c>
      <c r="K5" s="1">
        <v>-178.369</v>
      </c>
      <c r="L5" s="2">
        <v>-10.085096854452104</v>
      </c>
      <c r="M5" s="2">
        <v>20.467626103661132</v>
      </c>
      <c r="N5" s="2">
        <v>63.103078596214118</v>
      </c>
      <c r="O5" s="2">
        <v>73.485607845423147</v>
      </c>
      <c r="P5" s="2"/>
      <c r="Q5" s="2"/>
      <c r="S5" s="6"/>
      <c r="T5" s="6"/>
      <c r="U5" s="6"/>
      <c r="V5" s="2"/>
      <c r="X5" s="2"/>
      <c r="AA5" s="2"/>
      <c r="AB5" s="2"/>
      <c r="AD5" s="2"/>
      <c r="AE5" s="2"/>
      <c r="AG5" s="2"/>
    </row>
    <row r="6" spans="1:33" x14ac:dyDescent="0.35">
      <c r="A6" s="2" t="s">
        <v>26</v>
      </c>
      <c r="B6" s="1">
        <v>166.05</v>
      </c>
      <c r="C6" s="1">
        <v>0</v>
      </c>
      <c r="D6" s="1">
        <v>1.988</v>
      </c>
      <c r="E6" s="1">
        <v>63.35</v>
      </c>
      <c r="F6" s="1">
        <v>2.9880000000000004</v>
      </c>
      <c r="G6" s="1">
        <v>-0.56100000000000005</v>
      </c>
      <c r="H6" s="1">
        <v>7</v>
      </c>
      <c r="I6" s="1">
        <v>-0.45250000000000001</v>
      </c>
      <c r="J6" s="1">
        <v>3.0387037499999998</v>
      </c>
      <c r="K6" s="1">
        <v>-69.284999999999997</v>
      </c>
      <c r="L6" s="2">
        <v>0.2426487096679466</v>
      </c>
      <c r="M6" s="2">
        <v>66.443780548612452</v>
      </c>
      <c r="N6" s="2">
        <v>30.128715210923499</v>
      </c>
      <c r="O6" s="2">
        <v>96.815144469203901</v>
      </c>
      <c r="P6" s="2"/>
      <c r="Q6" s="2"/>
      <c r="S6" s="6"/>
      <c r="T6" s="6"/>
      <c r="U6" s="6"/>
      <c r="V6" s="2"/>
      <c r="X6" s="2"/>
      <c r="AA6" s="3"/>
      <c r="AB6" s="2"/>
      <c r="AD6" s="2"/>
      <c r="AE6" s="2"/>
      <c r="AG6" s="2"/>
    </row>
    <row r="7" spans="1:33" x14ac:dyDescent="0.35">
      <c r="A7" s="2" t="s">
        <v>27</v>
      </c>
      <c r="B7" s="1">
        <v>166.7</v>
      </c>
      <c r="C7" s="1">
        <v>0</v>
      </c>
      <c r="D7" s="1">
        <v>1.9570000000000001</v>
      </c>
      <c r="E7" s="1">
        <v>64.709999999999994</v>
      </c>
      <c r="F7" s="1">
        <v>1.996</v>
      </c>
      <c r="G7" s="1">
        <v>-0.5907</v>
      </c>
      <c r="H7" s="1">
        <v>8</v>
      </c>
      <c r="I7" s="1">
        <v>-0.45890000000000003</v>
      </c>
      <c r="J7" s="1">
        <v>3.0059999999999998</v>
      </c>
      <c r="K7" s="1">
        <v>-76.022000000000006</v>
      </c>
      <c r="L7" s="2">
        <v>1.0829399847402801</v>
      </c>
      <c r="M7" s="2">
        <v>45.722888212143744</v>
      </c>
      <c r="N7" s="2">
        <v>46.448849466229376</v>
      </c>
      <c r="O7" s="2">
        <v>93.254677663113398</v>
      </c>
      <c r="P7" s="2"/>
      <c r="Q7" s="2"/>
      <c r="S7" s="6"/>
      <c r="T7" s="6"/>
      <c r="U7" s="6"/>
      <c r="V7" s="2"/>
      <c r="X7" s="2"/>
      <c r="AA7" s="2"/>
      <c r="AB7" s="2"/>
      <c r="AD7" s="2"/>
      <c r="AE7" s="2"/>
      <c r="AG7" s="2"/>
    </row>
    <row r="8" spans="1:33" x14ac:dyDescent="0.35">
      <c r="A8" s="2" t="s">
        <v>28</v>
      </c>
      <c r="B8" s="1">
        <v>169.01</v>
      </c>
      <c r="C8" s="1">
        <v>0</v>
      </c>
      <c r="D8" s="1">
        <v>1.901</v>
      </c>
      <c r="E8" s="1">
        <v>66.2</v>
      </c>
      <c r="F8" s="1">
        <v>1.0129999999999999</v>
      </c>
      <c r="G8" s="1">
        <v>-0.61899999999999999</v>
      </c>
      <c r="H8" s="1">
        <v>9</v>
      </c>
      <c r="I8" s="1">
        <v>-0.41270000000000001</v>
      </c>
      <c r="J8" s="1">
        <v>2.9891762500000003</v>
      </c>
      <c r="K8" s="1">
        <v>-73.799000000000007</v>
      </c>
      <c r="L8" s="2">
        <v>5.3757637597518624</v>
      </c>
      <c r="M8" s="2">
        <v>34.377945184096461</v>
      </c>
      <c r="N8" s="2">
        <v>81.035558655962404</v>
      </c>
      <c r="O8" s="2">
        <v>120.78926759981073</v>
      </c>
      <c r="P8" s="2"/>
      <c r="Q8" s="2"/>
      <c r="S8" s="6"/>
      <c r="T8" s="6"/>
      <c r="U8" s="6"/>
      <c r="V8" s="2"/>
      <c r="X8" s="2"/>
      <c r="AA8" s="2"/>
      <c r="AB8" s="2"/>
      <c r="AD8" s="2"/>
      <c r="AE8" s="2"/>
      <c r="AG8" s="2"/>
    </row>
    <row r="9" spans="1:33" x14ac:dyDescent="0.35">
      <c r="A9" s="2" t="s">
        <v>29</v>
      </c>
      <c r="B9" s="1">
        <v>167.2</v>
      </c>
      <c r="C9" s="1">
        <v>0</v>
      </c>
      <c r="D9" s="1">
        <v>1.87235</v>
      </c>
      <c r="E9" s="1">
        <v>68.11</v>
      </c>
      <c r="F9" s="1">
        <v>0</v>
      </c>
      <c r="G9" s="1">
        <v>-0.64500000000000002</v>
      </c>
      <c r="H9" s="1">
        <v>10</v>
      </c>
      <c r="I9" s="1">
        <v>-0.3145</v>
      </c>
      <c r="J9" s="1">
        <v>2.9364562499999995</v>
      </c>
      <c r="K9" s="1">
        <v>-166.15199999999999</v>
      </c>
      <c r="L9" s="2">
        <v>4.938014145227271</v>
      </c>
      <c r="M9" s="2">
        <v>42.440225562641217</v>
      </c>
      <c r="N9" s="2">
        <v>105.8445382768075</v>
      </c>
      <c r="O9" s="2">
        <v>153.22277798467599</v>
      </c>
      <c r="P9" s="2"/>
      <c r="Q9" s="2"/>
      <c r="R9" s="5"/>
      <c r="S9" s="6"/>
      <c r="T9" s="6"/>
      <c r="U9" s="6"/>
      <c r="V9" s="2"/>
      <c r="X9" s="2"/>
      <c r="AA9" s="2"/>
      <c r="AB9" s="2"/>
      <c r="AD9" s="2"/>
      <c r="AE9" s="2"/>
      <c r="AG9" s="2"/>
    </row>
    <row r="10" spans="1:33" x14ac:dyDescent="0.35">
      <c r="A10" s="2" t="s">
        <v>30</v>
      </c>
      <c r="B10" s="1">
        <v>177.5</v>
      </c>
      <c r="C10" s="1">
        <v>1</v>
      </c>
      <c r="D10" s="1">
        <v>1.9224000000000001</v>
      </c>
      <c r="E10" s="1">
        <v>66.760000000000005</v>
      </c>
      <c r="F10" s="1">
        <v>0.97199999999999998</v>
      </c>
      <c r="G10" s="1">
        <v>-0.58800000000000008</v>
      </c>
      <c r="H10" s="1">
        <v>11</v>
      </c>
      <c r="I10" s="1">
        <v>-0.33539999999999998</v>
      </c>
      <c r="J10" s="1">
        <v>3.0419874999999998</v>
      </c>
      <c r="L10" s="2">
        <v>-11.902966800751528</v>
      </c>
      <c r="M10" s="2">
        <v>307.95457259250566</v>
      </c>
      <c r="N10" s="2">
        <v>70.03560632340259</v>
      </c>
      <c r="O10" s="2">
        <v>366.08721211515672</v>
      </c>
      <c r="P10" s="2"/>
      <c r="Q10" s="2"/>
      <c r="S10" s="6"/>
      <c r="T10" s="6"/>
      <c r="U10" s="6"/>
      <c r="V10" s="2"/>
      <c r="X10" s="2"/>
      <c r="AA10" s="2"/>
      <c r="AB10" s="2"/>
      <c r="AD10" s="2"/>
      <c r="AE10" s="2"/>
      <c r="AG10" s="2"/>
    </row>
    <row r="11" spans="1:33" x14ac:dyDescent="0.35">
      <c r="A11" s="2" t="s">
        <v>31</v>
      </c>
      <c r="B11" s="1">
        <v>131.77000000000001</v>
      </c>
      <c r="C11" s="1">
        <v>1</v>
      </c>
      <c r="D11" s="1">
        <v>2.3514999999999997</v>
      </c>
      <c r="E11" s="1">
        <v>70.510000000000005</v>
      </c>
      <c r="F11" s="1">
        <v>0.78700000000000003</v>
      </c>
      <c r="G11" s="1">
        <v>-0.14299999999999996</v>
      </c>
      <c r="H11" s="1">
        <v>3</v>
      </c>
      <c r="I11" s="1">
        <v>-0.28839999999999999</v>
      </c>
      <c r="J11" s="1" t="e">
        <v>#DIV/0!</v>
      </c>
      <c r="K11" s="1">
        <v>-85.58</v>
      </c>
      <c r="L11" s="2">
        <v>-1.0022058598694912</v>
      </c>
      <c r="M11" s="2">
        <v>20.17018320701527</v>
      </c>
      <c r="N11" s="2">
        <v>47.311168686165502</v>
      </c>
      <c r="O11" s="2">
        <v>66.479146033311281</v>
      </c>
      <c r="P11" s="2"/>
      <c r="Q11" s="2"/>
      <c r="S11" s="6"/>
      <c r="T11" s="6"/>
      <c r="U11" s="6"/>
      <c r="V11" s="2"/>
      <c r="X11" s="2"/>
      <c r="AA11" s="2"/>
      <c r="AB11" s="2"/>
      <c r="AD11" s="2"/>
      <c r="AE11" s="2"/>
      <c r="AG11" s="2"/>
    </row>
    <row r="12" spans="1:33" x14ac:dyDescent="0.35">
      <c r="A12" s="2" t="s">
        <v>32</v>
      </c>
      <c r="B12" s="1">
        <v>162.65</v>
      </c>
      <c r="C12" s="1">
        <v>0</v>
      </c>
      <c r="D12" s="1">
        <v>2.1640000000000001</v>
      </c>
      <c r="E12" s="1">
        <v>57.41</v>
      </c>
      <c r="F12" s="1">
        <v>3.9609999999999994</v>
      </c>
      <c r="G12" s="1">
        <v>-0.58599999999999997</v>
      </c>
      <c r="H12" s="1">
        <v>4</v>
      </c>
      <c r="I12" s="1">
        <v>-0.26889999999999997</v>
      </c>
      <c r="J12" s="1">
        <v>3.185635</v>
      </c>
      <c r="K12" s="1">
        <v>-87.602000000000004</v>
      </c>
      <c r="L12" s="2">
        <v>16.955977845270599</v>
      </c>
      <c r="M12" s="2">
        <v>-18.047303677872623</v>
      </c>
      <c r="N12" s="2">
        <v>38.98384407981257</v>
      </c>
      <c r="O12" s="2">
        <v>37.892518247210546</v>
      </c>
      <c r="P12" s="2"/>
      <c r="Q12" s="2"/>
      <c r="S12" s="6"/>
      <c r="T12" s="6"/>
      <c r="U12" s="6"/>
      <c r="V12" s="2"/>
      <c r="X12" s="2"/>
      <c r="AA12" s="2"/>
      <c r="AB12" s="2"/>
      <c r="AD12" s="2"/>
      <c r="AE12" s="2"/>
      <c r="AG12" s="2"/>
    </row>
    <row r="13" spans="1:33" x14ac:dyDescent="0.35">
      <c r="A13" s="2" t="s">
        <v>33</v>
      </c>
      <c r="B13" s="1">
        <v>154.68</v>
      </c>
      <c r="C13" s="1">
        <v>0</v>
      </c>
      <c r="D13" s="1">
        <v>2.1110000000000002</v>
      </c>
      <c r="E13" s="1">
        <v>60.24</v>
      </c>
      <c r="F13" s="1">
        <v>4.9379999999999988</v>
      </c>
      <c r="G13" s="1">
        <v>-0.60199999999999998</v>
      </c>
      <c r="H13" s="1">
        <v>5</v>
      </c>
      <c r="I13" s="1">
        <v>-0.27419999999999994</v>
      </c>
      <c r="J13" s="1">
        <v>3.1500274999999998</v>
      </c>
      <c r="K13" s="1">
        <v>-179.95099999999999</v>
      </c>
      <c r="L13" s="2">
        <v>33.428207315344707</v>
      </c>
      <c r="M13" s="2">
        <v>-26.247265278183022</v>
      </c>
      <c r="N13" s="2">
        <v>44.054104660777512</v>
      </c>
      <c r="O13" s="2">
        <v>51.235046697939197</v>
      </c>
      <c r="P13" s="2"/>
      <c r="Q13" s="2"/>
      <c r="S13" s="6"/>
      <c r="T13" s="6"/>
      <c r="U13" s="6"/>
      <c r="V13" s="2"/>
      <c r="X13" s="2"/>
      <c r="AA13" s="2"/>
      <c r="AB13" s="2"/>
      <c r="AD13" s="2"/>
      <c r="AE13" s="2"/>
      <c r="AG13" s="2"/>
    </row>
    <row r="14" spans="1:33" x14ac:dyDescent="0.35">
      <c r="A14" s="2" t="s">
        <v>34</v>
      </c>
      <c r="B14" s="1">
        <v>168.44</v>
      </c>
      <c r="C14" s="1">
        <v>1</v>
      </c>
      <c r="D14" s="1">
        <v>2.0960000000000001</v>
      </c>
      <c r="E14" s="1">
        <v>60.38</v>
      </c>
      <c r="F14" s="1">
        <v>3.9729999999999999</v>
      </c>
      <c r="G14" s="1">
        <v>-0.59</v>
      </c>
      <c r="H14" s="1">
        <v>6</v>
      </c>
      <c r="I14" s="1">
        <v>-0.2732</v>
      </c>
      <c r="J14" s="1">
        <v>3.1638937500000002</v>
      </c>
      <c r="K14" s="1">
        <v>-76.948999999999998</v>
      </c>
      <c r="L14" s="2">
        <v>-17.473175090137829</v>
      </c>
      <c r="M14" s="2">
        <v>67.830753433361224</v>
      </c>
      <c r="N14" s="2">
        <v>44.82334990739627</v>
      </c>
      <c r="O14" s="2">
        <v>95.180928250619672</v>
      </c>
      <c r="P14" s="2"/>
      <c r="Q14" s="2"/>
      <c r="S14" s="6"/>
      <c r="T14" s="6"/>
      <c r="U14" s="6"/>
      <c r="V14" s="2"/>
      <c r="X14" s="2"/>
      <c r="AA14" s="2"/>
      <c r="AB14" s="2"/>
      <c r="AD14" s="2"/>
      <c r="AE14" s="2"/>
      <c r="AG14" s="2"/>
    </row>
    <row r="15" spans="1:33" x14ac:dyDescent="0.35">
      <c r="A15" s="2" t="s">
        <v>35</v>
      </c>
      <c r="B15" s="1">
        <v>165.32</v>
      </c>
      <c r="C15" s="1">
        <v>0</v>
      </c>
      <c r="D15" s="1">
        <v>1.9850000000000001</v>
      </c>
      <c r="E15" s="1">
        <v>62.78</v>
      </c>
      <c r="F15" s="1">
        <v>2.9889999999999999</v>
      </c>
      <c r="G15" s="1">
        <v>-0.57100000000000006</v>
      </c>
      <c r="H15" s="1">
        <v>7</v>
      </c>
      <c r="I15" s="1">
        <v>-0.46919999999999995</v>
      </c>
      <c r="J15" s="1">
        <v>3.1638937500000002</v>
      </c>
      <c r="K15" s="1">
        <v>-68.183999999999997</v>
      </c>
      <c r="L15" s="2">
        <v>6.7233804002178204</v>
      </c>
      <c r="M15" s="2">
        <v>63.315208493073186</v>
      </c>
      <c r="N15" s="2">
        <v>34.622783561486585</v>
      </c>
      <c r="O15" s="2">
        <v>104.66137245477759</v>
      </c>
      <c r="P15" s="2"/>
      <c r="Q15" s="2"/>
      <c r="S15" s="6"/>
      <c r="T15" s="6"/>
      <c r="U15" s="6"/>
      <c r="V15" s="2"/>
      <c r="X15" s="2"/>
      <c r="AA15" s="3"/>
      <c r="AB15" s="2"/>
      <c r="AD15" s="2"/>
      <c r="AE15" s="2"/>
      <c r="AG15" s="2"/>
    </row>
    <row r="16" spans="1:33" x14ac:dyDescent="0.35">
      <c r="A16" s="2" t="s">
        <v>36</v>
      </c>
      <c r="B16" s="1">
        <v>166</v>
      </c>
      <c r="C16" s="1">
        <v>0</v>
      </c>
      <c r="D16" s="1">
        <v>1.9550000000000001</v>
      </c>
      <c r="E16" s="1">
        <v>64.27</v>
      </c>
      <c r="F16" s="1">
        <v>1.9949999999999997</v>
      </c>
      <c r="G16" s="1">
        <v>-0.59899999999999998</v>
      </c>
      <c r="H16" s="1">
        <v>8</v>
      </c>
      <c r="I16" s="1">
        <v>-0.45830000000000004</v>
      </c>
      <c r="J16" s="1">
        <v>3.0684750000000003</v>
      </c>
      <c r="K16" s="1">
        <v>-80.498999999999995</v>
      </c>
      <c r="L16" s="2">
        <v>3.6132656102915917</v>
      </c>
      <c r="M16" s="2">
        <v>38.519120077007528</v>
      </c>
      <c r="N16" s="2">
        <v>50.97943852240769</v>
      </c>
      <c r="O16" s="2">
        <v>93.111824209706811</v>
      </c>
      <c r="P16" s="2"/>
      <c r="Q16" s="2"/>
      <c r="S16" s="6"/>
      <c r="T16" s="6"/>
      <c r="U16" s="6"/>
      <c r="V16" s="2"/>
      <c r="X16" s="2"/>
      <c r="AA16" s="2"/>
      <c r="AB16" s="2"/>
      <c r="AD16" s="2"/>
      <c r="AE16" s="2"/>
      <c r="AG16" s="2"/>
    </row>
    <row r="17" spans="1:33" x14ac:dyDescent="0.35">
      <c r="A17" s="2" t="s">
        <v>37</v>
      </c>
      <c r="B17" s="1">
        <v>169.13</v>
      </c>
      <c r="C17" s="1">
        <v>0</v>
      </c>
      <c r="D17" s="1">
        <v>1.8959999999999999</v>
      </c>
      <c r="E17" s="1">
        <v>65.73</v>
      </c>
      <c r="F17" s="1">
        <v>1.0109999999999999</v>
      </c>
      <c r="G17" s="1">
        <v>-0.63200000000000001</v>
      </c>
      <c r="H17" s="1">
        <v>9</v>
      </c>
      <c r="I17" s="1">
        <v>-0.41639999999999999</v>
      </c>
      <c r="J17" s="1">
        <v>3.0566350000000004</v>
      </c>
      <c r="K17" s="1">
        <v>-75.569000000000003</v>
      </c>
      <c r="L17" s="2">
        <v>11.963038239453681</v>
      </c>
      <c r="M17" s="2">
        <v>26.92512211898611</v>
      </c>
      <c r="N17" s="2">
        <v>84.13834830074893</v>
      </c>
      <c r="O17" s="2">
        <v>123.02650865918872</v>
      </c>
      <c r="P17" s="2"/>
      <c r="Q17" s="2"/>
      <c r="S17" s="6"/>
      <c r="T17" s="6"/>
      <c r="U17" s="6"/>
      <c r="V17" s="2"/>
      <c r="X17" s="2"/>
      <c r="AA17" s="2"/>
      <c r="AB17" s="2"/>
      <c r="AD17" s="2"/>
      <c r="AE17" s="2"/>
      <c r="AG17" s="2"/>
    </row>
    <row r="18" spans="1:33" x14ac:dyDescent="0.35">
      <c r="A18" s="2" t="s">
        <v>38</v>
      </c>
      <c r="B18" s="1">
        <v>167.15</v>
      </c>
      <c r="C18" s="1">
        <v>0</v>
      </c>
      <c r="D18" s="1">
        <v>1.867</v>
      </c>
      <c r="E18" s="1">
        <v>68.069999999999993</v>
      </c>
      <c r="F18" s="1">
        <v>0</v>
      </c>
      <c r="G18" s="1">
        <v>-0.64500000000000002</v>
      </c>
      <c r="H18" s="1">
        <v>10</v>
      </c>
      <c r="I18" s="1">
        <v>-0.317</v>
      </c>
      <c r="J18" s="1">
        <v>2.98717875</v>
      </c>
      <c r="K18" s="1">
        <v>177.09899999999999</v>
      </c>
      <c r="L18" s="2">
        <v>14.167775608716738</v>
      </c>
      <c r="M18" s="2">
        <v>36.549732528188997</v>
      </c>
      <c r="N18" s="2">
        <v>107.27086740822688</v>
      </c>
      <c r="O18" s="2">
        <v>157.98837554513261</v>
      </c>
      <c r="P18" s="2"/>
      <c r="Q18" s="2"/>
      <c r="R18" s="5"/>
      <c r="S18" s="6"/>
      <c r="T18" s="6"/>
      <c r="U18" s="6"/>
      <c r="V18" s="2"/>
      <c r="X18" s="2"/>
      <c r="AA18" s="2"/>
      <c r="AB18" s="2"/>
      <c r="AD18" s="2"/>
      <c r="AE18" s="2"/>
      <c r="AG18" s="2"/>
    </row>
    <row r="19" spans="1:33" x14ac:dyDescent="0.35">
      <c r="A19" s="2" t="s">
        <v>39</v>
      </c>
      <c r="B19" s="1">
        <v>179.77</v>
      </c>
      <c r="C19" s="1">
        <v>1</v>
      </c>
      <c r="D19" s="1">
        <v>1.919</v>
      </c>
      <c r="E19" s="1">
        <v>66.77</v>
      </c>
      <c r="F19" s="1">
        <v>0.97099999999999986</v>
      </c>
      <c r="G19" s="1">
        <v>-1.238</v>
      </c>
      <c r="H19" s="1">
        <v>11</v>
      </c>
      <c r="I19" s="1">
        <v>-0.33529999999999999</v>
      </c>
      <c r="J19" s="1">
        <v>3.1154200000000003</v>
      </c>
      <c r="L19" s="2">
        <v>-11.740028269843606</v>
      </c>
      <c r="M19" s="2">
        <v>359.57728486771316</v>
      </c>
      <c r="N19" s="2">
        <v>72.03586975522353</v>
      </c>
      <c r="O19" s="2">
        <v>419.87312635309308</v>
      </c>
      <c r="P19" s="2"/>
      <c r="Q19" s="2"/>
      <c r="S19" s="6"/>
      <c r="T19" s="6"/>
      <c r="U19" s="6"/>
      <c r="V19" s="2"/>
      <c r="X19" s="2"/>
      <c r="AA19" s="3"/>
      <c r="AB19" s="2"/>
      <c r="AD19" s="2"/>
      <c r="AE19" s="2"/>
      <c r="AG19" s="2"/>
    </row>
    <row r="20" spans="1:33" x14ac:dyDescent="0.35">
      <c r="A20" s="2" t="s">
        <v>40</v>
      </c>
      <c r="B20" s="1">
        <v>128.19</v>
      </c>
      <c r="C20" s="1">
        <v>1</v>
      </c>
      <c r="D20" s="1">
        <v>2.3445</v>
      </c>
      <c r="E20" s="1">
        <v>70.510000000000005</v>
      </c>
      <c r="F20" s="1">
        <v>2.2279999999999998</v>
      </c>
      <c r="G20" s="1">
        <v>-0.28300000000000003</v>
      </c>
      <c r="H20" s="1">
        <v>3</v>
      </c>
      <c r="I20" s="1">
        <v>-0.26</v>
      </c>
      <c r="J20" s="1" t="e">
        <v>#DIV/0!</v>
      </c>
      <c r="K20" s="1">
        <v>-78.741</v>
      </c>
      <c r="L20" s="2">
        <v>-14.567402965235942</v>
      </c>
      <c r="M20" s="2">
        <v>5.5957964128058428</v>
      </c>
      <c r="N20" s="2">
        <v>48.198482665632582</v>
      </c>
      <c r="O20" s="2">
        <v>39.226876113202479</v>
      </c>
      <c r="P20" s="2"/>
      <c r="Q20" s="2"/>
      <c r="S20" s="6"/>
      <c r="T20" s="6"/>
      <c r="U20" s="6"/>
      <c r="V20" s="2"/>
      <c r="X20" s="2"/>
      <c r="AA20" s="2"/>
      <c r="AB20" s="3"/>
      <c r="AD20" s="2"/>
      <c r="AE20" s="2"/>
      <c r="AG20" s="2"/>
    </row>
    <row r="21" spans="1:33" x14ac:dyDescent="0.35">
      <c r="A21" s="2" t="s">
        <v>41</v>
      </c>
      <c r="B21" s="1">
        <v>154.91</v>
      </c>
      <c r="C21" s="1">
        <v>0</v>
      </c>
      <c r="D21" s="1">
        <v>2.1638000000000002</v>
      </c>
      <c r="E21" s="1">
        <v>57.41</v>
      </c>
      <c r="F21" s="1">
        <v>3.96</v>
      </c>
      <c r="G21" s="1">
        <v>-0.58100000000000018</v>
      </c>
      <c r="H21" s="1">
        <v>4</v>
      </c>
      <c r="I21" s="1">
        <v>-0.2671</v>
      </c>
      <c r="J21" s="1">
        <v>3.0880274999999999</v>
      </c>
      <c r="K21" s="1">
        <v>-81.44</v>
      </c>
      <c r="L21" s="2">
        <v>9.2696690641050701</v>
      </c>
      <c r="M21" s="2">
        <v>-3.2225754567730256</v>
      </c>
      <c r="N21" s="2">
        <v>33.604982230587893</v>
      </c>
      <c r="O21" s="2">
        <v>39.652075837919938</v>
      </c>
      <c r="P21" s="2"/>
      <c r="Q21" s="2"/>
      <c r="S21" s="6"/>
      <c r="T21" s="6"/>
      <c r="U21" s="6"/>
      <c r="V21" s="2"/>
      <c r="X21" s="2"/>
      <c r="AA21" s="2"/>
      <c r="AB21" s="2"/>
      <c r="AD21" s="2"/>
      <c r="AE21" s="2"/>
      <c r="AG21" s="2"/>
    </row>
    <row r="22" spans="1:33" x14ac:dyDescent="0.35">
      <c r="A22" s="2" t="s">
        <v>48</v>
      </c>
      <c r="B22" s="1">
        <v>156.57</v>
      </c>
      <c r="C22" s="1">
        <v>0</v>
      </c>
      <c r="D22" s="1">
        <v>2.1219999999999999</v>
      </c>
      <c r="E22" s="1">
        <v>60.24</v>
      </c>
      <c r="F22" s="1">
        <v>4.93</v>
      </c>
      <c r="G22" s="1">
        <v>-0.55799999999999994</v>
      </c>
      <c r="H22" s="1">
        <v>5</v>
      </c>
      <c r="I22" s="1">
        <v>-0.28400000000000003</v>
      </c>
      <c r="J22" s="1">
        <v>3.0473599999999994</v>
      </c>
      <c r="K22" s="1">
        <v>177.76599999999999</v>
      </c>
      <c r="L22" s="2">
        <v>10.635375399295526</v>
      </c>
      <c r="M22" s="2">
        <v>6.734449509357546</v>
      </c>
      <c r="N22" s="2">
        <v>42.609685834633638</v>
      </c>
      <c r="O22" s="2">
        <v>59.97951074328671</v>
      </c>
      <c r="P22" s="2"/>
      <c r="Q22" s="2"/>
      <c r="S22" s="6"/>
      <c r="T22" s="6"/>
      <c r="U22" s="6"/>
      <c r="V22" s="2"/>
      <c r="X22" s="2"/>
      <c r="AA22" s="3"/>
      <c r="AB22" s="3"/>
      <c r="AD22" s="3"/>
      <c r="AE22" s="2"/>
      <c r="AG22" s="2"/>
    </row>
    <row r="23" spans="1:33" x14ac:dyDescent="0.35">
      <c r="A23" s="2" t="s">
        <v>42</v>
      </c>
      <c r="B23" s="1">
        <v>176.4</v>
      </c>
      <c r="C23" s="1">
        <v>1</v>
      </c>
      <c r="D23" s="1">
        <v>2.1254999999999997</v>
      </c>
      <c r="E23" s="1">
        <v>62</v>
      </c>
      <c r="F23" s="1">
        <v>5.9340000000000002</v>
      </c>
      <c r="G23" s="1">
        <v>-0.58000000000000007</v>
      </c>
      <c r="H23" s="1">
        <v>6</v>
      </c>
      <c r="I23" s="1">
        <v>-0.2732</v>
      </c>
      <c r="J23" s="1">
        <v>3.1126</v>
      </c>
      <c r="K23" s="1">
        <v>-74.263000000000005</v>
      </c>
      <c r="L23" s="2">
        <v>-18.569268829268822</v>
      </c>
      <c r="M23" s="2">
        <v>52.489116772921989</v>
      </c>
      <c r="N23" s="2">
        <v>41.319383859563231</v>
      </c>
      <c r="O23" s="2">
        <v>75.239231803216398</v>
      </c>
      <c r="P23" s="2"/>
      <c r="Q23" s="2"/>
      <c r="R23" s="2"/>
      <c r="S23" s="6"/>
      <c r="T23" s="6"/>
      <c r="U23" s="6"/>
      <c r="V23" s="2"/>
      <c r="X23" s="2"/>
      <c r="AA23" s="2"/>
      <c r="AB23" s="2"/>
      <c r="AD23" s="2"/>
      <c r="AE23" s="2"/>
      <c r="AG23" s="2"/>
    </row>
    <row r="24" spans="1:33" x14ac:dyDescent="0.35">
      <c r="A24" s="2" t="s">
        <v>43</v>
      </c>
      <c r="B24" s="1">
        <v>167.94</v>
      </c>
      <c r="C24" s="1">
        <v>0</v>
      </c>
      <c r="D24" s="1">
        <v>1.9950000000000001</v>
      </c>
      <c r="E24" s="1">
        <v>67.44</v>
      </c>
      <c r="F24" s="1">
        <v>3.0009999999999994</v>
      </c>
      <c r="G24" s="1">
        <v>-0.57900000000000007</v>
      </c>
      <c r="H24" s="1">
        <v>7</v>
      </c>
      <c r="I24" s="1">
        <v>-0.46499999999999997</v>
      </c>
      <c r="J24" s="1">
        <v>3.0074125</v>
      </c>
      <c r="K24" s="1">
        <v>-72.12</v>
      </c>
      <c r="L24" s="2">
        <v>2.3215458646934621</v>
      </c>
      <c r="M24" s="2">
        <v>23.001362253462958</v>
      </c>
      <c r="N24" s="2">
        <v>32.483184844871175</v>
      </c>
      <c r="O24" s="2">
        <v>57.806092963027595</v>
      </c>
      <c r="P24" s="2"/>
      <c r="Q24" s="2"/>
      <c r="S24" s="6"/>
      <c r="T24" s="6"/>
      <c r="U24" s="6"/>
      <c r="V24" s="2"/>
      <c r="X24" s="2"/>
      <c r="AA24" s="2"/>
      <c r="AB24" s="2"/>
      <c r="AD24" s="2"/>
      <c r="AE24" s="2"/>
      <c r="AG24" s="2"/>
    </row>
    <row r="25" spans="1:33" x14ac:dyDescent="0.35">
      <c r="A25" s="2" t="s">
        <v>44</v>
      </c>
      <c r="B25" s="1">
        <v>169.34</v>
      </c>
      <c r="C25" s="1">
        <v>0</v>
      </c>
      <c r="D25" s="1">
        <v>1.9820000000000002</v>
      </c>
      <c r="E25" s="1">
        <v>68.92</v>
      </c>
      <c r="F25" s="1">
        <v>2.0190000000000001</v>
      </c>
      <c r="G25" s="1">
        <v>-0.60500000000000009</v>
      </c>
      <c r="H25" s="1">
        <v>8</v>
      </c>
      <c r="I25" s="1">
        <v>-0.45095000000000002</v>
      </c>
      <c r="J25" s="1">
        <v>2.9744937500000002</v>
      </c>
      <c r="K25" s="1">
        <v>-78.088999999999999</v>
      </c>
      <c r="L25" s="2">
        <v>7.7394489003388571</v>
      </c>
      <c r="M25" s="2">
        <v>42.239191028450243</v>
      </c>
      <c r="N25" s="2">
        <v>53.883372795254672</v>
      </c>
      <c r="O25" s="2">
        <v>103.86201272404378</v>
      </c>
      <c r="P25" s="2"/>
      <c r="Q25" s="2"/>
      <c r="S25" s="6"/>
      <c r="T25" s="6"/>
      <c r="U25" s="6"/>
      <c r="V25" s="2"/>
      <c r="X25" s="2"/>
      <c r="AA25" s="2"/>
      <c r="AB25" s="2"/>
      <c r="AD25" s="2"/>
      <c r="AE25" s="2"/>
      <c r="AG25" s="2"/>
    </row>
    <row r="26" spans="1:33" x14ac:dyDescent="0.35">
      <c r="A26" s="2" t="s">
        <v>45</v>
      </c>
      <c r="B26" s="1">
        <v>170.33</v>
      </c>
      <c r="C26" s="1">
        <v>0</v>
      </c>
      <c r="D26" s="1">
        <v>1.9040499999999998</v>
      </c>
      <c r="E26" s="1">
        <v>70.13</v>
      </c>
      <c r="F26" s="1">
        <v>1.0190000000000001</v>
      </c>
      <c r="G26" s="1">
        <v>-0.627</v>
      </c>
      <c r="H26" s="1">
        <v>9</v>
      </c>
      <c r="I26" s="1">
        <v>-0.4219</v>
      </c>
      <c r="J26" s="1">
        <v>2.9876912499999997</v>
      </c>
      <c r="K26" s="1">
        <v>-77.043000000000006</v>
      </c>
      <c r="L26" s="2">
        <v>5.393879710392639</v>
      </c>
      <c r="M26" s="2">
        <v>44.796714207421928</v>
      </c>
      <c r="N26" s="2">
        <v>79.258515236306039</v>
      </c>
      <c r="O26" s="2">
        <v>129.44910915412061</v>
      </c>
      <c r="P26" s="2"/>
      <c r="Q26" s="2"/>
      <c r="S26" s="6"/>
      <c r="T26" s="6"/>
      <c r="U26" s="6"/>
      <c r="V26" s="2"/>
      <c r="X26" s="2"/>
      <c r="AA26" s="3"/>
      <c r="AB26" s="2"/>
      <c r="AD26" s="2"/>
      <c r="AE26" s="2"/>
      <c r="AG26" s="2"/>
    </row>
    <row r="27" spans="1:33" x14ac:dyDescent="0.35">
      <c r="A27" s="2" t="s">
        <v>46</v>
      </c>
      <c r="B27" s="1">
        <v>167.99</v>
      </c>
      <c r="C27" s="1">
        <v>0</v>
      </c>
      <c r="D27" s="1">
        <v>1.879</v>
      </c>
      <c r="E27" s="1">
        <v>70.260000000000005</v>
      </c>
      <c r="F27" s="1">
        <v>0</v>
      </c>
      <c r="G27" s="1">
        <v>-0.63600000000000001</v>
      </c>
      <c r="H27" s="1">
        <v>10</v>
      </c>
      <c r="I27" s="1">
        <v>-0.31969999999999998</v>
      </c>
      <c r="J27" s="1">
        <v>2.9357562499999998</v>
      </c>
      <c r="K27" s="1">
        <v>-152.61199999999999</v>
      </c>
      <c r="L27" s="2">
        <v>5.519142314768942</v>
      </c>
      <c r="M27" s="2">
        <v>47.369966757700695</v>
      </c>
      <c r="N27" s="2">
        <v>94.796043077102013</v>
      </c>
      <c r="O27" s="2">
        <v>147.68515214957165</v>
      </c>
      <c r="P27" s="2"/>
      <c r="Q27" s="2"/>
      <c r="S27" s="6"/>
      <c r="T27" s="6"/>
      <c r="U27" s="6"/>
      <c r="V27" s="2"/>
      <c r="X27" s="2"/>
      <c r="AA27" s="2"/>
      <c r="AB27" s="2"/>
      <c r="AD27" s="2"/>
      <c r="AE27" s="2"/>
      <c r="AG27" s="2"/>
    </row>
    <row r="28" spans="1:33" x14ac:dyDescent="0.35">
      <c r="A28" s="2" t="s">
        <v>47</v>
      </c>
      <c r="B28" s="1">
        <v>176.8</v>
      </c>
      <c r="C28" s="1">
        <v>1</v>
      </c>
      <c r="D28" s="1">
        <v>1.9330000000000001</v>
      </c>
      <c r="E28" s="1">
        <v>69.760000000000005</v>
      </c>
      <c r="F28" s="1">
        <v>0.96699999999999997</v>
      </c>
      <c r="G28" s="1">
        <v>-0.59089999999999998</v>
      </c>
      <c r="H28" s="1">
        <v>11</v>
      </c>
      <c r="I28" s="1">
        <v>-0.33909999999999996</v>
      </c>
      <c r="J28" s="1">
        <v>3.0835950000000003</v>
      </c>
      <c r="L28" s="2">
        <v>-13.294718093918164</v>
      </c>
      <c r="M28" s="2">
        <v>353.12238809736073</v>
      </c>
      <c r="N28" s="2">
        <v>69.12584432232029</v>
      </c>
      <c r="O28" s="2">
        <v>408.95351432576285</v>
      </c>
      <c r="P28" s="2"/>
      <c r="Q28" s="2"/>
      <c r="S28" s="6"/>
      <c r="T28" s="6"/>
      <c r="U28" s="6"/>
      <c r="V28" s="2"/>
      <c r="X28" s="2"/>
      <c r="AA28" s="3"/>
      <c r="AB28" s="2"/>
      <c r="AD28" s="2"/>
      <c r="AE28" s="2"/>
      <c r="AG28" s="2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EA47-68FF-4E3C-9C1D-5405AC721154}">
  <dimension ref="D2:E19"/>
  <sheetViews>
    <sheetView workbookViewId="0">
      <selection activeCell="E19" sqref="E19"/>
    </sheetView>
  </sheetViews>
  <sheetFormatPr defaultRowHeight="15" x14ac:dyDescent="0.25"/>
  <cols>
    <col min="2" max="2" width="25.140625" customWidth="1"/>
    <col min="5" max="5" width="40.5703125" customWidth="1"/>
    <col min="8" max="8" width="12.7109375" customWidth="1"/>
  </cols>
  <sheetData>
    <row r="2" spans="4:5" x14ac:dyDescent="0.25">
      <c r="D2" t="s">
        <v>3</v>
      </c>
      <c r="E2" t="s">
        <v>10</v>
      </c>
    </row>
    <row r="3" spans="4:5" x14ac:dyDescent="0.25">
      <c r="D3" t="s">
        <v>4</v>
      </c>
      <c r="E3" t="s">
        <v>13</v>
      </c>
    </row>
    <row r="4" spans="4:5" x14ac:dyDescent="0.25">
      <c r="D4" t="s">
        <v>5</v>
      </c>
      <c r="E4" t="s">
        <v>66</v>
      </c>
    </row>
    <row r="5" spans="4:5" x14ac:dyDescent="0.25">
      <c r="D5" t="s">
        <v>6</v>
      </c>
      <c r="E5" t="s">
        <v>49</v>
      </c>
    </row>
    <row r="6" spans="4:5" x14ac:dyDescent="0.25">
      <c r="D6" t="s">
        <v>7</v>
      </c>
      <c r="E6" t="s">
        <v>65</v>
      </c>
    </row>
    <row r="7" spans="4:5" x14ac:dyDescent="0.25">
      <c r="D7" t="s">
        <v>8</v>
      </c>
      <c r="E7" t="s">
        <v>64</v>
      </c>
    </row>
    <row r="8" spans="4:5" x14ac:dyDescent="0.25">
      <c r="D8" t="s">
        <v>9</v>
      </c>
      <c r="E8" t="s">
        <v>60</v>
      </c>
    </row>
    <row r="9" spans="4:5" x14ac:dyDescent="0.25">
      <c r="D9" t="s">
        <v>11</v>
      </c>
      <c r="E9" t="s">
        <v>63</v>
      </c>
    </row>
    <row r="10" spans="4:5" x14ac:dyDescent="0.25">
      <c r="D10" t="s">
        <v>12</v>
      </c>
      <c r="E10" t="s">
        <v>69</v>
      </c>
    </row>
    <row r="11" spans="4:5" x14ac:dyDescent="0.25">
      <c r="D11" t="s">
        <v>14</v>
      </c>
      <c r="E11" t="s">
        <v>70</v>
      </c>
    </row>
    <row r="15" spans="4:5" x14ac:dyDescent="0.25">
      <c r="D15" t="s">
        <v>0</v>
      </c>
      <c r="E15" t="s">
        <v>56</v>
      </c>
    </row>
    <row r="16" spans="4:5" x14ac:dyDescent="0.25">
      <c r="D16" t="s">
        <v>1</v>
      </c>
      <c r="E16" t="s">
        <v>67</v>
      </c>
    </row>
    <row r="17" spans="4:5" x14ac:dyDescent="0.25">
      <c r="D17" t="s">
        <v>2</v>
      </c>
      <c r="E17" t="s">
        <v>57</v>
      </c>
    </row>
    <row r="18" spans="4:5" x14ac:dyDescent="0.25">
      <c r="D18" t="s">
        <v>50</v>
      </c>
      <c r="E18" t="s">
        <v>68</v>
      </c>
    </row>
    <row r="19" spans="4:5" x14ac:dyDescent="0.25">
      <c r="D19" t="s">
        <v>51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32B3-9F30-4AC8-8EE4-E2D08548BD8E}">
  <dimension ref="A1:AD28"/>
  <sheetViews>
    <sheetView zoomScale="70" zoomScaleNormal="70" workbookViewId="0">
      <selection activeCell="AF18" sqref="AF18"/>
    </sheetView>
  </sheetViews>
  <sheetFormatPr defaultRowHeight="15" x14ac:dyDescent="0.25"/>
  <cols>
    <col min="22" max="22" width="10" bestFit="1" customWidth="1"/>
    <col min="24" max="24" width="11" bestFit="1" customWidth="1"/>
    <col min="26" max="29" width="11" bestFit="1" customWidth="1"/>
    <col min="30" max="30" width="10" bestFit="1" customWidth="1"/>
  </cols>
  <sheetData>
    <row r="1" spans="1:30" ht="23.25" x14ac:dyDescent="0.35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54</v>
      </c>
      <c r="S1" s="1" t="s">
        <v>55</v>
      </c>
      <c r="T1" s="1" t="s">
        <v>59</v>
      </c>
      <c r="U1" s="2" t="s">
        <v>0</v>
      </c>
      <c r="V1" s="2" t="s">
        <v>1</v>
      </c>
      <c r="W1" s="2" t="s">
        <v>2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58</v>
      </c>
      <c r="AC1" s="1" t="s">
        <v>61</v>
      </c>
      <c r="AD1" s="1" t="s">
        <v>62</v>
      </c>
    </row>
    <row r="2" spans="1:30" ht="23.25" x14ac:dyDescent="0.35">
      <c r="A2" s="2" t="s">
        <v>22</v>
      </c>
      <c r="B2" s="1">
        <v>0.69599999999999995</v>
      </c>
      <c r="C2" s="1">
        <v>-0.154</v>
      </c>
      <c r="D2" s="1">
        <v>9.4E-2</v>
      </c>
      <c r="E2" s="1">
        <v>-0.44900000000000001</v>
      </c>
      <c r="F2" s="1">
        <v>-0.40799999999999997</v>
      </c>
      <c r="G2" s="1">
        <v>2.2473999999999998</v>
      </c>
      <c r="H2" s="1">
        <v>2.3273999999999999</v>
      </c>
      <c r="I2" s="1">
        <v>117.27</v>
      </c>
      <c r="J2" s="1">
        <v>1.169</v>
      </c>
      <c r="K2" s="1">
        <v>0.496</v>
      </c>
      <c r="L2" s="1">
        <v>0.17100000000000001</v>
      </c>
      <c r="M2" s="1">
        <v>0.152</v>
      </c>
      <c r="N2" s="1">
        <v>9.9000000000000005E-2</v>
      </c>
      <c r="O2" s="1">
        <v>0</v>
      </c>
      <c r="P2" s="1">
        <v>69.239999999999995</v>
      </c>
      <c r="Q2" s="1">
        <f>J2+K2+L2+M2+N2</f>
        <v>2.0870000000000002</v>
      </c>
      <c r="R2" s="1">
        <f>B2+C2+D2+E2+F2</f>
        <v>-0.22100000000000009</v>
      </c>
      <c r="S2" s="1">
        <v>3</v>
      </c>
      <c r="T2" s="1">
        <v>21.636078622884</v>
      </c>
      <c r="U2" s="2">
        <v>16.884800540817423</v>
      </c>
      <c r="V2" s="3">
        <v>210</v>
      </c>
      <c r="W2" s="2">
        <v>7.348144380347776</v>
      </c>
      <c r="X2" s="2">
        <v>51.920890310048662</v>
      </c>
      <c r="Y2" s="2">
        <v>-40.915814841820499</v>
      </c>
      <c r="Z2" s="2">
        <f>U2+V2-W2+X2-Y2</f>
        <v>312.37336131233883</v>
      </c>
      <c r="AA2" s="2">
        <f>U2-W2+X2-Y2</f>
        <v>102.3733613123388</v>
      </c>
      <c r="AB2" s="2">
        <f>V2-W2+X2-Y2</f>
        <v>295.48856077152141</v>
      </c>
      <c r="AC2" s="2">
        <f>U2+V2+X2-Y2</f>
        <v>319.72150569268661</v>
      </c>
      <c r="AD2" s="2">
        <f>U2+V2-W2-Y2</f>
        <v>260.45247100229017</v>
      </c>
    </row>
    <row r="3" spans="1:30" ht="23.25" x14ac:dyDescent="0.35">
      <c r="A3" s="2" t="s">
        <v>23</v>
      </c>
      <c r="B3" s="1">
        <v>0.66800000000000004</v>
      </c>
      <c r="C3" s="1">
        <v>-0.185</v>
      </c>
      <c r="D3" s="1">
        <v>-0.185</v>
      </c>
      <c r="E3" s="1">
        <v>-0.438</v>
      </c>
      <c r="F3" s="1">
        <v>-0.438</v>
      </c>
      <c r="G3" s="1">
        <v>2.1644000000000001</v>
      </c>
      <c r="H3" s="1">
        <v>2.1644000000000001</v>
      </c>
      <c r="I3" s="1">
        <v>163.19999999999999</v>
      </c>
      <c r="J3" s="1">
        <v>2.98</v>
      </c>
      <c r="K3" s="1">
        <v>0.377</v>
      </c>
      <c r="L3" s="1">
        <v>0.33700000000000002</v>
      </c>
      <c r="M3" s="1">
        <v>0.153</v>
      </c>
      <c r="N3" s="1">
        <v>0.153</v>
      </c>
      <c r="O3" s="1">
        <v>0</v>
      </c>
      <c r="P3" s="1">
        <v>57.66</v>
      </c>
      <c r="Q3" s="1">
        <f t="shared" ref="Q3:Q28" si="0">J3+K3+L3+M3+N3</f>
        <v>4</v>
      </c>
      <c r="R3" s="1">
        <f t="shared" ref="R3:R28" si="1">B3+C3+D3+E3+F3</f>
        <v>-0.57799999999999996</v>
      </c>
      <c r="S3" s="1">
        <v>4</v>
      </c>
      <c r="T3" s="1">
        <v>-9.5398697731086486</v>
      </c>
      <c r="U3" s="2">
        <v>0.74039099992160118</v>
      </c>
      <c r="V3" s="2">
        <v>117.37677397171092</v>
      </c>
      <c r="W3" s="2">
        <v>2.558917320249293</v>
      </c>
      <c r="X3" s="2">
        <v>34.042679335667799</v>
      </c>
      <c r="Y3" s="2">
        <v>-69.814457048291615</v>
      </c>
      <c r="Z3" s="2">
        <f t="shared" ref="Z3:Z28" si="2">U3+V3-W3+X3-Y3</f>
        <v>219.41538403534264</v>
      </c>
      <c r="AA3" s="2">
        <f t="shared" ref="AA3:AA28" si="3">U3-W3+X3-Y3</f>
        <v>102.03861006363172</v>
      </c>
      <c r="AB3" s="2">
        <f t="shared" ref="AB3:AB28" si="4">V3-W3+X3-Y3</f>
        <v>218.67499303542104</v>
      </c>
      <c r="AC3" s="2">
        <f t="shared" ref="AC3:AC28" si="5">U3+V3+X3-Y3</f>
        <v>221.97430135559193</v>
      </c>
      <c r="AD3" s="2">
        <f t="shared" ref="AD3:AD28" si="6">U3+V3-W3-Y3</f>
        <v>185.37270469967484</v>
      </c>
    </row>
    <row r="4" spans="1:30" ht="23.25" x14ac:dyDescent="0.35">
      <c r="A4" s="2" t="s">
        <v>24</v>
      </c>
      <c r="B4" s="1">
        <v>0.54300000000000004</v>
      </c>
      <c r="C4" s="1">
        <v>-0.13400000000000001</v>
      </c>
      <c r="D4" s="1">
        <v>-0.13400000000000001</v>
      </c>
      <c r="E4" s="1">
        <v>-0.434</v>
      </c>
      <c r="F4" s="1">
        <v>-0.434</v>
      </c>
      <c r="G4" s="1">
        <v>2.1150000000000002</v>
      </c>
      <c r="H4" s="1">
        <v>2.1150000000000002</v>
      </c>
      <c r="I4" s="1">
        <v>156.44999999999999</v>
      </c>
      <c r="J4" s="1">
        <v>4.0709999999999997</v>
      </c>
      <c r="K4" s="1">
        <v>0.29199999999999998</v>
      </c>
      <c r="L4" s="1">
        <v>0.29199999999999998</v>
      </c>
      <c r="M4" s="1">
        <v>0.14000000000000001</v>
      </c>
      <c r="N4" s="1">
        <v>0.14000000000000001</v>
      </c>
      <c r="O4" s="1">
        <v>0</v>
      </c>
      <c r="P4" s="1">
        <v>60.54</v>
      </c>
      <c r="Q4" s="1">
        <f t="shared" si="0"/>
        <v>4.9349999999999987</v>
      </c>
      <c r="R4" s="1">
        <f t="shared" si="1"/>
        <v>-0.59299999999999997</v>
      </c>
      <c r="S4" s="1">
        <v>5</v>
      </c>
      <c r="T4" s="1">
        <v>14.719041343059644</v>
      </c>
      <c r="U4" s="2">
        <v>25.977694689679311</v>
      </c>
      <c r="V4" s="2">
        <v>60.381107223084655</v>
      </c>
      <c r="W4" s="2">
        <v>22.496649260403046</v>
      </c>
      <c r="X4" s="2">
        <v>39.842828915386917</v>
      </c>
      <c r="Y4" s="2">
        <v>-14.624819237242718</v>
      </c>
      <c r="Z4" s="2">
        <f t="shared" si="2"/>
        <v>118.32980080499055</v>
      </c>
      <c r="AA4" s="2">
        <f t="shared" si="3"/>
        <v>57.9486935819059</v>
      </c>
      <c r="AB4" s="2">
        <f t="shared" si="4"/>
        <v>92.352106115311244</v>
      </c>
      <c r="AC4" s="2">
        <f t="shared" si="5"/>
        <v>140.8264500653936</v>
      </c>
      <c r="AD4" s="2">
        <f t="shared" si="6"/>
        <v>78.486971889603637</v>
      </c>
    </row>
    <row r="5" spans="1:30" ht="23.25" x14ac:dyDescent="0.35">
      <c r="A5" s="2" t="s">
        <v>25</v>
      </c>
      <c r="B5" s="1">
        <v>0.56299999999999994</v>
      </c>
      <c r="C5" s="1">
        <v>-0.13200000000000001</v>
      </c>
      <c r="D5" s="1">
        <v>-0.13200000000000001</v>
      </c>
      <c r="E5" s="1">
        <v>-0.437</v>
      </c>
      <c r="F5" s="1">
        <v>-0.437</v>
      </c>
      <c r="G5" s="1">
        <v>2.1185999999999998</v>
      </c>
      <c r="H5" s="1">
        <v>2.1179999999999999</v>
      </c>
      <c r="I5" s="1">
        <v>179.11</v>
      </c>
      <c r="J5" s="1">
        <v>5.1189999999999998</v>
      </c>
      <c r="K5" s="1">
        <v>0.27700000000000002</v>
      </c>
      <c r="L5" s="1">
        <v>0.27700000000000002</v>
      </c>
      <c r="M5" s="1">
        <v>0.13100000000000001</v>
      </c>
      <c r="N5" s="1">
        <v>0.13100000000000001</v>
      </c>
      <c r="O5" s="1">
        <v>0</v>
      </c>
      <c r="P5" s="1">
        <v>60.55</v>
      </c>
      <c r="Q5" s="1">
        <f t="shared" si="0"/>
        <v>5.9350000000000005</v>
      </c>
      <c r="R5" s="1">
        <f t="shared" si="1"/>
        <v>-0.57500000000000007</v>
      </c>
      <c r="S5" s="1">
        <v>6</v>
      </c>
      <c r="T5" s="1">
        <v>10.382529249209028</v>
      </c>
      <c r="U5" s="2">
        <v>-10.085096854452104</v>
      </c>
      <c r="V5" s="2">
        <v>167.19558396334173</v>
      </c>
      <c r="W5" s="2">
        <v>45.770394009399297</v>
      </c>
      <c r="X5" s="2">
        <v>63.103078596214118</v>
      </c>
      <c r="Y5" s="2">
        <v>-6.7716336774178671</v>
      </c>
      <c r="Z5" s="2">
        <f t="shared" si="2"/>
        <v>181.21480537312232</v>
      </c>
      <c r="AA5" s="2">
        <f t="shared" si="3"/>
        <v>14.019221409780585</v>
      </c>
      <c r="AB5" s="2">
        <f t="shared" si="4"/>
        <v>191.29990222757442</v>
      </c>
      <c r="AC5" s="2">
        <f t="shared" si="5"/>
        <v>226.98519938252161</v>
      </c>
      <c r="AD5" s="2">
        <f t="shared" si="6"/>
        <v>118.1117267769082</v>
      </c>
    </row>
    <row r="6" spans="1:30" ht="23.25" x14ac:dyDescent="0.35">
      <c r="A6" s="2" t="s">
        <v>26</v>
      </c>
      <c r="B6" s="1">
        <v>0.84699999999999998</v>
      </c>
      <c r="C6" s="1">
        <v>-0.248</v>
      </c>
      <c r="D6" s="1">
        <v>-0.248</v>
      </c>
      <c r="E6" s="1">
        <v>-0.45600000000000002</v>
      </c>
      <c r="F6" s="1">
        <v>-0.45600000000000002</v>
      </c>
      <c r="G6" s="1">
        <v>1.988</v>
      </c>
      <c r="H6" s="1">
        <v>1.988</v>
      </c>
      <c r="I6" s="1">
        <v>166.05</v>
      </c>
      <c r="J6" s="1">
        <v>4.258</v>
      </c>
      <c r="K6" s="1">
        <v>-0.497</v>
      </c>
      <c r="L6" s="1">
        <v>-0.497</v>
      </c>
      <c r="M6" s="1">
        <v>-0.13800000000000001</v>
      </c>
      <c r="N6" s="1">
        <v>-0.13800000000000001</v>
      </c>
      <c r="O6" s="1">
        <v>1</v>
      </c>
      <c r="P6" s="1">
        <v>63.35</v>
      </c>
      <c r="Q6" s="1">
        <f t="shared" si="0"/>
        <v>2.9880000000000004</v>
      </c>
      <c r="R6" s="1">
        <f t="shared" si="1"/>
        <v>-0.56100000000000005</v>
      </c>
      <c r="S6" s="1">
        <v>7</v>
      </c>
      <c r="T6" s="4">
        <v>66.686429258280398</v>
      </c>
      <c r="U6" s="2">
        <v>0.2426487096679466</v>
      </c>
      <c r="V6" s="3">
        <v>83.903189217976703</v>
      </c>
      <c r="W6" s="2">
        <v>12.904437520037845</v>
      </c>
      <c r="X6" s="2">
        <v>30.128715210923474</v>
      </c>
      <c r="Y6" s="2">
        <v>-40.296511902440898</v>
      </c>
      <c r="Z6" s="2">
        <f t="shared" si="2"/>
        <v>141.66662752097119</v>
      </c>
      <c r="AA6" s="2">
        <f t="shared" si="3"/>
        <v>57.763438302994473</v>
      </c>
      <c r="AB6" s="2">
        <f t="shared" si="4"/>
        <v>141.42397881130324</v>
      </c>
      <c r="AC6" s="2">
        <f t="shared" si="5"/>
        <v>154.57106504100904</v>
      </c>
      <c r="AD6" s="2">
        <f t="shared" si="6"/>
        <v>111.5379123100477</v>
      </c>
    </row>
    <row r="7" spans="1:30" ht="23.25" x14ac:dyDescent="0.35">
      <c r="A7" s="2" t="s">
        <v>27</v>
      </c>
      <c r="B7" s="1">
        <v>0.65329999999999999</v>
      </c>
      <c r="C7" s="1">
        <v>-0.17499999999999999</v>
      </c>
      <c r="D7" s="1">
        <v>-0.17499999999999999</v>
      </c>
      <c r="E7" s="1">
        <v>-0.44700000000000001</v>
      </c>
      <c r="F7" s="1">
        <v>-0.44700000000000001</v>
      </c>
      <c r="G7" s="1">
        <v>1.9570000000000001</v>
      </c>
      <c r="H7" s="1">
        <v>1.9570000000000001</v>
      </c>
      <c r="I7" s="1">
        <v>166.7</v>
      </c>
      <c r="J7" s="1">
        <v>3.0459999999999998</v>
      </c>
      <c r="K7" s="1">
        <v>-0.40400000000000003</v>
      </c>
      <c r="L7" s="1">
        <v>-0.40400000000000003</v>
      </c>
      <c r="M7" s="1">
        <v>-0.121</v>
      </c>
      <c r="N7" s="1">
        <v>-0.121</v>
      </c>
      <c r="O7" s="1">
        <v>0</v>
      </c>
      <c r="P7" s="1">
        <v>64.709999999999994</v>
      </c>
      <c r="Q7" s="1">
        <f t="shared" si="0"/>
        <v>1.996</v>
      </c>
      <c r="R7" s="1">
        <f t="shared" si="1"/>
        <v>-0.5907</v>
      </c>
      <c r="S7" s="1">
        <v>8</v>
      </c>
      <c r="T7" s="1">
        <v>46.805828196884022</v>
      </c>
      <c r="U7" s="2">
        <v>1.0829399847402801</v>
      </c>
      <c r="V7" s="2">
        <v>62.212944827331057</v>
      </c>
      <c r="W7" s="2">
        <v>10.606757451069143</v>
      </c>
      <c r="X7" s="2">
        <v>46.448849466229376</v>
      </c>
      <c r="Y7" s="2">
        <v>1.9405367179813311</v>
      </c>
      <c r="Z7" s="2">
        <f t="shared" si="2"/>
        <v>97.197440109250238</v>
      </c>
      <c r="AA7" s="2">
        <f t="shared" si="3"/>
        <v>34.98449528191918</v>
      </c>
      <c r="AB7" s="2">
        <f t="shared" si="4"/>
        <v>96.114500124509959</v>
      </c>
      <c r="AC7" s="2">
        <f t="shared" si="5"/>
        <v>107.80419756031938</v>
      </c>
      <c r="AD7" s="2">
        <f t="shared" si="6"/>
        <v>50.748590643020862</v>
      </c>
    </row>
    <row r="8" spans="1:30" ht="23.25" x14ac:dyDescent="0.35">
      <c r="A8" s="2" t="s">
        <v>28</v>
      </c>
      <c r="B8" s="1">
        <v>0.26300000000000001</v>
      </c>
      <c r="C8" s="1">
        <v>-2E-3</v>
      </c>
      <c r="D8" s="1">
        <v>-2E-3</v>
      </c>
      <c r="E8" s="1">
        <v>-0.439</v>
      </c>
      <c r="F8" s="1">
        <v>-0.439</v>
      </c>
      <c r="G8" s="1">
        <v>1.901</v>
      </c>
      <c r="H8" s="1">
        <v>1.901</v>
      </c>
      <c r="I8" s="1">
        <v>169.01</v>
      </c>
      <c r="J8" s="1">
        <v>1.629</v>
      </c>
      <c r="K8" s="1">
        <v>-0.23300000000000001</v>
      </c>
      <c r="L8" s="1">
        <v>-0.23300000000000001</v>
      </c>
      <c r="M8" s="1">
        <v>-7.4999999999999997E-2</v>
      </c>
      <c r="N8" s="1">
        <v>-7.4999999999999997E-2</v>
      </c>
      <c r="O8" s="1">
        <v>0</v>
      </c>
      <c r="P8" s="1">
        <v>66.2</v>
      </c>
      <c r="Q8" s="1">
        <f t="shared" si="0"/>
        <v>1.0129999999999999</v>
      </c>
      <c r="R8" s="1">
        <f t="shared" si="1"/>
        <v>-0.61899999999999999</v>
      </c>
      <c r="S8" s="1">
        <v>9</v>
      </c>
      <c r="T8" s="1">
        <v>39.753708943848324</v>
      </c>
      <c r="U8" s="2">
        <v>5.3757637597518624</v>
      </c>
      <c r="V8" s="2">
        <v>66.88580972824866</v>
      </c>
      <c r="W8" s="2">
        <v>27.453041904688462</v>
      </c>
      <c r="X8" s="2">
        <v>81.035558655962404</v>
      </c>
      <c r="Y8" s="2">
        <v>46.639411667447348</v>
      </c>
      <c r="Z8" s="2">
        <f t="shared" si="2"/>
        <v>79.204678571827117</v>
      </c>
      <c r="AA8" s="2">
        <f t="shared" si="3"/>
        <v>12.318868843578457</v>
      </c>
      <c r="AB8" s="2">
        <f t="shared" si="4"/>
        <v>73.828914812075254</v>
      </c>
      <c r="AC8" s="2">
        <f t="shared" si="5"/>
        <v>106.65772047651558</v>
      </c>
      <c r="AD8" s="2">
        <f t="shared" si="6"/>
        <v>-1.8308800841352877</v>
      </c>
    </row>
    <row r="9" spans="1:30" ht="23.25" x14ac:dyDescent="0.35">
      <c r="A9" s="2" t="s">
        <v>29</v>
      </c>
      <c r="B9" s="1">
        <v>7.2999999999999995E-2</v>
      </c>
      <c r="C9" s="1">
        <v>7.0000000000000001E-3</v>
      </c>
      <c r="D9" s="1">
        <v>7.0000000000000001E-3</v>
      </c>
      <c r="E9" s="1">
        <v>-0.42899999999999999</v>
      </c>
      <c r="F9" s="1">
        <v>-0.42899999999999999</v>
      </c>
      <c r="G9" s="1">
        <v>1.8720000000000001</v>
      </c>
      <c r="H9" s="1">
        <v>1.8727</v>
      </c>
      <c r="I9" s="1">
        <v>167.2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68.11</v>
      </c>
      <c r="Q9" s="1">
        <f t="shared" si="0"/>
        <v>0</v>
      </c>
      <c r="R9" s="1">
        <f t="shared" si="1"/>
        <v>-0.77099999999999991</v>
      </c>
      <c r="S9" s="1">
        <v>10</v>
      </c>
      <c r="T9" s="1">
        <v>47.378239707868488</v>
      </c>
      <c r="U9" s="2">
        <v>4.938014145227271</v>
      </c>
      <c r="V9" s="2">
        <v>82.395268346903094</v>
      </c>
      <c r="W9" s="2">
        <v>27.001849730245567</v>
      </c>
      <c r="X9" s="2">
        <v>105.8445382768075</v>
      </c>
      <c r="Y9" s="2">
        <v>59.558762027375906</v>
      </c>
      <c r="Z9" s="2">
        <f>U9+V9-W9+X9-Y9</f>
        <v>106.61720901131639</v>
      </c>
      <c r="AA9" s="2">
        <f t="shared" si="3"/>
        <v>24.221940664413296</v>
      </c>
      <c r="AB9" s="2">
        <f t="shared" si="4"/>
        <v>101.67919486608912</v>
      </c>
      <c r="AC9" s="2">
        <f t="shared" si="5"/>
        <v>133.61905874156196</v>
      </c>
      <c r="AD9" s="2">
        <f t="shared" si="6"/>
        <v>0.77267073450889256</v>
      </c>
    </row>
    <row r="10" spans="1:30" ht="23.25" x14ac:dyDescent="0.35">
      <c r="A10" s="2" t="s">
        <v>30</v>
      </c>
      <c r="B10" s="1">
        <v>0.42599999999999999</v>
      </c>
      <c r="C10" s="1">
        <v>-6.6000000000000003E-2</v>
      </c>
      <c r="D10" s="1">
        <v>-6.6000000000000003E-2</v>
      </c>
      <c r="E10" s="1">
        <v>-0.441</v>
      </c>
      <c r="F10" s="1">
        <v>-0.441</v>
      </c>
      <c r="G10" s="1">
        <v>1.9228000000000001</v>
      </c>
      <c r="H10" s="1">
        <v>1.9219999999999999</v>
      </c>
      <c r="I10" s="1">
        <v>177.5</v>
      </c>
      <c r="J10" s="1">
        <v>0.182</v>
      </c>
      <c r="K10" s="1">
        <v>0.30399999999999999</v>
      </c>
      <c r="L10" s="1">
        <v>0.30399999999999999</v>
      </c>
      <c r="M10" s="1">
        <v>9.0999999999999998E-2</v>
      </c>
      <c r="N10" s="1">
        <v>9.0999999999999998E-2</v>
      </c>
      <c r="O10" s="1">
        <v>0</v>
      </c>
      <c r="P10" s="1">
        <v>66.760000000000005</v>
      </c>
      <c r="Q10" s="1">
        <f t="shared" si="0"/>
        <v>0.97199999999999998</v>
      </c>
      <c r="R10" s="1">
        <f t="shared" si="1"/>
        <v>-0.58800000000000008</v>
      </c>
      <c r="S10" s="1">
        <v>11</v>
      </c>
      <c r="T10" s="1">
        <v>296.05160579175413</v>
      </c>
      <c r="U10" s="2">
        <v>-11.902966800751528</v>
      </c>
      <c r="V10" s="2">
        <v>344.18116908293382</v>
      </c>
      <c r="W10" s="2">
        <v>-48.129563291179693</v>
      </c>
      <c r="X10" s="2">
        <v>70.03560632340259</v>
      </c>
      <c r="Y10" s="2">
        <v>16.686001091794651</v>
      </c>
      <c r="Z10" s="2">
        <f t="shared" si="2"/>
        <v>433.75737080496992</v>
      </c>
      <c r="AA10" s="2">
        <f t="shared" si="3"/>
        <v>89.576201722036103</v>
      </c>
      <c r="AB10" s="2">
        <f t="shared" si="4"/>
        <v>445.66033760572145</v>
      </c>
      <c r="AC10" s="2">
        <f t="shared" si="5"/>
        <v>385.62780751379023</v>
      </c>
      <c r="AD10" s="2">
        <f t="shared" si="6"/>
        <v>363.72176448156733</v>
      </c>
    </row>
    <row r="11" spans="1:30" ht="23.25" x14ac:dyDescent="0.35">
      <c r="A11" s="2" t="s">
        <v>31</v>
      </c>
      <c r="B11" s="1">
        <v>0.64500000000000002</v>
      </c>
      <c r="C11" s="1">
        <v>0.13600000000000001</v>
      </c>
      <c r="D11" s="1">
        <v>-8.5000000000000006E-2</v>
      </c>
      <c r="E11" s="1">
        <v>-0.40100000000000002</v>
      </c>
      <c r="F11" s="1">
        <v>-0.438</v>
      </c>
      <c r="G11" s="1">
        <v>2.2879999999999998</v>
      </c>
      <c r="H11" s="1">
        <v>2.415</v>
      </c>
      <c r="I11" s="1">
        <v>131.77000000000001</v>
      </c>
      <c r="J11" s="1">
        <v>0.38400000000000001</v>
      </c>
      <c r="K11" s="1">
        <v>0.38100000000000001</v>
      </c>
      <c r="L11" s="1">
        <v>-6.2E-2</v>
      </c>
      <c r="M11" s="1">
        <v>0.11799999999999999</v>
      </c>
      <c r="N11" s="1">
        <v>-3.4000000000000002E-2</v>
      </c>
      <c r="O11" s="1">
        <v>1</v>
      </c>
      <c r="P11" s="1">
        <v>70.510000000000005</v>
      </c>
      <c r="Q11" s="1">
        <f t="shared" si="0"/>
        <v>0.78700000000000003</v>
      </c>
      <c r="R11" s="1">
        <f t="shared" si="1"/>
        <v>-0.14299999999999996</v>
      </c>
      <c r="S11" s="1">
        <v>3</v>
      </c>
      <c r="T11" s="1">
        <v>19.167977347145779</v>
      </c>
      <c r="U11" s="2">
        <v>-1.0022058598694912</v>
      </c>
      <c r="V11" s="2">
        <v>200.91802764991601</v>
      </c>
      <c r="W11" s="2">
        <v>7.7120911907243226</v>
      </c>
      <c r="X11" s="2">
        <v>47.311168686165502</v>
      </c>
      <c r="Y11" s="2">
        <v>-46.474733482399415</v>
      </c>
      <c r="Z11" s="2">
        <f t="shared" si="2"/>
        <v>285.98963276788709</v>
      </c>
      <c r="AA11" s="2">
        <f t="shared" si="3"/>
        <v>85.071605117971103</v>
      </c>
      <c r="AB11" s="2">
        <f t="shared" si="4"/>
        <v>286.99183862775658</v>
      </c>
      <c r="AC11" s="2">
        <f t="shared" si="5"/>
        <v>293.70172395861141</v>
      </c>
      <c r="AD11" s="2">
        <f t="shared" si="6"/>
        <v>238.67846408172161</v>
      </c>
    </row>
    <row r="12" spans="1:30" ht="23.25" x14ac:dyDescent="0.35">
      <c r="A12" s="2" t="s">
        <v>32</v>
      </c>
      <c r="B12" s="1">
        <v>0.67</v>
      </c>
      <c r="C12" s="1">
        <v>-0.189</v>
      </c>
      <c r="D12" s="1">
        <v>-0.189</v>
      </c>
      <c r="E12" s="1">
        <v>-0.439</v>
      </c>
      <c r="F12" s="1">
        <v>-0.439</v>
      </c>
      <c r="G12" s="1">
        <v>2.1640000000000001</v>
      </c>
      <c r="H12" s="1">
        <v>2.1640000000000001</v>
      </c>
      <c r="I12" s="1">
        <v>162.65</v>
      </c>
      <c r="J12" s="1">
        <v>2.9790000000000001</v>
      </c>
      <c r="K12" s="1">
        <v>0.34</v>
      </c>
      <c r="L12" s="1">
        <v>0.34</v>
      </c>
      <c r="M12" s="1">
        <v>0.151</v>
      </c>
      <c r="N12" s="1">
        <v>0.151</v>
      </c>
      <c r="O12" s="1">
        <v>1</v>
      </c>
      <c r="P12" s="1">
        <v>57.41</v>
      </c>
      <c r="Q12" s="1">
        <f t="shared" si="0"/>
        <v>3.9609999999999994</v>
      </c>
      <c r="R12" s="1">
        <f t="shared" si="1"/>
        <v>-0.58599999999999997</v>
      </c>
      <c r="S12" s="1">
        <v>4</v>
      </c>
      <c r="T12" s="1">
        <v>-1.0913258326020241</v>
      </c>
      <c r="U12" s="2">
        <v>16.955977845270599</v>
      </c>
      <c r="V12" s="2">
        <v>67.758709712325299</v>
      </c>
      <c r="W12" s="2">
        <v>8.8511381104990505</v>
      </c>
      <c r="X12" s="2">
        <v>38.98384407981257</v>
      </c>
      <c r="Y12" s="2">
        <v>-54.353228862005203</v>
      </c>
      <c r="Z12" s="2">
        <f t="shared" si="2"/>
        <v>169.20062238891461</v>
      </c>
      <c r="AA12" s="2">
        <f t="shared" si="3"/>
        <v>101.44191267658931</v>
      </c>
      <c r="AB12" s="2">
        <f t="shared" si="4"/>
        <v>152.24464454364403</v>
      </c>
      <c r="AC12" s="2">
        <f t="shared" si="5"/>
        <v>178.05176049941366</v>
      </c>
      <c r="AD12" s="2">
        <f t="shared" si="6"/>
        <v>130.21677830910204</v>
      </c>
    </row>
    <row r="13" spans="1:30" ht="23.25" x14ac:dyDescent="0.35">
      <c r="A13" s="2" t="s">
        <v>33</v>
      </c>
      <c r="B13" s="1">
        <v>0.54800000000000004</v>
      </c>
      <c r="C13" s="1">
        <v>-0.14000000000000001</v>
      </c>
      <c r="D13" s="1">
        <v>-0.14000000000000001</v>
      </c>
      <c r="E13" s="1">
        <v>-0.435</v>
      </c>
      <c r="F13" s="1">
        <v>-0.435</v>
      </c>
      <c r="G13" s="1">
        <v>2.1110000000000002</v>
      </c>
      <c r="H13" s="1">
        <v>2.1110000000000002</v>
      </c>
      <c r="I13" s="1">
        <v>154.68</v>
      </c>
      <c r="J13" s="1">
        <v>4.0640000000000001</v>
      </c>
      <c r="K13" s="1">
        <v>0.29699999999999999</v>
      </c>
      <c r="L13" s="1">
        <v>0.29699999999999999</v>
      </c>
      <c r="M13" s="1">
        <v>0.14000000000000001</v>
      </c>
      <c r="N13" s="1">
        <v>0.14000000000000001</v>
      </c>
      <c r="O13" s="1">
        <v>0</v>
      </c>
      <c r="P13" s="1">
        <v>60.24</v>
      </c>
      <c r="Q13" s="1">
        <f t="shared" si="0"/>
        <v>4.9379999999999988</v>
      </c>
      <c r="R13" s="1">
        <f t="shared" si="1"/>
        <v>-0.60199999999999998</v>
      </c>
      <c r="S13" s="1">
        <v>5</v>
      </c>
      <c r="T13" s="1">
        <v>7.1809420371616852</v>
      </c>
      <c r="U13" s="2">
        <v>33.428207315344707</v>
      </c>
      <c r="V13" s="2">
        <v>69.704415253251227</v>
      </c>
      <c r="W13" s="2">
        <v>20.929908391021616</v>
      </c>
      <c r="X13" s="2">
        <v>44.054104660777512</v>
      </c>
      <c r="Y13" s="2">
        <v>-19.315590047440537</v>
      </c>
      <c r="Z13" s="2">
        <f t="shared" si="2"/>
        <v>145.57240888579236</v>
      </c>
      <c r="AA13" s="2">
        <f t="shared" si="3"/>
        <v>75.867993632541143</v>
      </c>
      <c r="AB13" s="2">
        <f t="shared" si="4"/>
        <v>112.14420157044766</v>
      </c>
      <c r="AC13" s="2">
        <f t="shared" si="5"/>
        <v>166.50231727681398</v>
      </c>
      <c r="AD13" s="2">
        <f t="shared" si="6"/>
        <v>101.51830422501486</v>
      </c>
    </row>
    <row r="14" spans="1:30" ht="23.25" x14ac:dyDescent="0.35">
      <c r="A14" s="2" t="s">
        <v>34</v>
      </c>
      <c r="B14" s="1">
        <v>0.52700000000000002</v>
      </c>
      <c r="C14" s="1">
        <v>-0.125</v>
      </c>
      <c r="D14" s="1">
        <v>-0.126</v>
      </c>
      <c r="E14" s="1">
        <v>-0.433</v>
      </c>
      <c r="F14" s="1">
        <v>-0.433</v>
      </c>
      <c r="G14" s="1">
        <v>2.0960000000000001</v>
      </c>
      <c r="H14" s="1">
        <v>2.0960000000000001</v>
      </c>
      <c r="I14" s="1">
        <v>168.44</v>
      </c>
      <c r="J14" s="1">
        <v>4.6970000000000001</v>
      </c>
      <c r="K14" s="1">
        <v>-0.33500000000000002</v>
      </c>
      <c r="L14" s="1">
        <v>-0.33500000000000002</v>
      </c>
      <c r="M14" s="1">
        <v>-2.7E-2</v>
      </c>
      <c r="N14" s="1">
        <v>-2.7E-2</v>
      </c>
      <c r="O14" s="1">
        <v>0</v>
      </c>
      <c r="P14" s="1">
        <v>60.38</v>
      </c>
      <c r="Q14" s="1">
        <f t="shared" si="0"/>
        <v>3.9729999999999999</v>
      </c>
      <c r="R14" s="1">
        <f t="shared" si="1"/>
        <v>-0.59</v>
      </c>
      <c r="S14" s="1">
        <v>6</v>
      </c>
      <c r="T14" s="1">
        <v>50.357578343223402</v>
      </c>
      <c r="U14" s="2">
        <v>17.473175090137829</v>
      </c>
      <c r="V14" s="2">
        <v>110</v>
      </c>
      <c r="W14" s="2">
        <v>13.102899065172544</v>
      </c>
      <c r="X14" s="2">
        <v>44.82334990739627</v>
      </c>
      <c r="Y14" s="2">
        <v>6.0745965083071951</v>
      </c>
      <c r="Z14" s="2">
        <f t="shared" si="2"/>
        <v>153.11902942405436</v>
      </c>
      <c r="AA14" s="2">
        <f t="shared" si="3"/>
        <v>43.119029424054361</v>
      </c>
      <c r="AB14" s="2">
        <f t="shared" si="4"/>
        <v>135.64585433391653</v>
      </c>
      <c r="AC14" s="2">
        <f t="shared" si="5"/>
        <v>166.22192848922691</v>
      </c>
      <c r="AD14" s="2">
        <f t="shared" si="6"/>
        <v>108.29567951665808</v>
      </c>
    </row>
    <row r="15" spans="1:30" ht="23.25" x14ac:dyDescent="0.35">
      <c r="A15" s="2" t="s">
        <v>35</v>
      </c>
      <c r="B15" s="1">
        <v>0.84499999999999997</v>
      </c>
      <c r="C15" s="1">
        <v>-0.25</v>
      </c>
      <c r="D15" s="1">
        <v>-0.25</v>
      </c>
      <c r="E15" s="1">
        <v>-0.45800000000000002</v>
      </c>
      <c r="F15" s="1">
        <v>-0.45800000000000002</v>
      </c>
      <c r="G15" s="1">
        <v>1.9850000000000001</v>
      </c>
      <c r="H15" s="1">
        <v>1.9850000000000001</v>
      </c>
      <c r="I15" s="1">
        <v>165.32</v>
      </c>
      <c r="J15" s="1">
        <v>4.2530000000000001</v>
      </c>
      <c r="K15" s="1">
        <v>-0.496</v>
      </c>
      <c r="L15" s="1">
        <v>-0.496</v>
      </c>
      <c r="M15" s="1">
        <v>-0.13600000000000001</v>
      </c>
      <c r="N15" s="1">
        <v>-0.13600000000000001</v>
      </c>
      <c r="O15" s="1">
        <v>0</v>
      </c>
      <c r="P15" s="1">
        <v>62.78</v>
      </c>
      <c r="Q15" s="1">
        <f t="shared" si="0"/>
        <v>2.9889999999999999</v>
      </c>
      <c r="R15" s="1">
        <f t="shared" si="1"/>
        <v>-0.57100000000000006</v>
      </c>
      <c r="S15" s="1">
        <v>7</v>
      </c>
      <c r="T15" s="4">
        <v>70.038588893291006</v>
      </c>
      <c r="U15" s="2">
        <v>6.7233804002178204</v>
      </c>
      <c r="V15" s="3">
        <v>95.6319978037684</v>
      </c>
      <c r="W15" s="2">
        <v>6.6321442753735482</v>
      </c>
      <c r="X15" s="2">
        <v>34.622783561486585</v>
      </c>
      <c r="Y15" s="2">
        <v>-30.138032321786113</v>
      </c>
      <c r="Z15" s="2">
        <f t="shared" si="2"/>
        <v>160.48404981188537</v>
      </c>
      <c r="AA15" s="2">
        <f t="shared" si="3"/>
        <v>64.852052008116971</v>
      </c>
      <c r="AB15" s="2">
        <f t="shared" si="4"/>
        <v>153.76066941166755</v>
      </c>
      <c r="AC15" s="2">
        <f t="shared" si="5"/>
        <v>167.11619408725892</v>
      </c>
      <c r="AD15" s="2">
        <f t="shared" si="6"/>
        <v>125.86126625039878</v>
      </c>
    </row>
    <row r="16" spans="1:30" ht="23.25" x14ac:dyDescent="0.35">
      <c r="A16" s="2" t="s">
        <v>36</v>
      </c>
      <c r="B16" s="1">
        <v>0.65100000000000002</v>
      </c>
      <c r="C16" s="1">
        <v>-0.17799999999999999</v>
      </c>
      <c r="D16" s="1">
        <v>-0.17799999999999999</v>
      </c>
      <c r="E16" s="1">
        <v>-0.44700000000000001</v>
      </c>
      <c r="F16" s="1">
        <v>-0.44700000000000001</v>
      </c>
      <c r="G16" s="1">
        <v>1.9550000000000001</v>
      </c>
      <c r="H16" s="1">
        <v>1.9550000000000001</v>
      </c>
      <c r="I16" s="1">
        <v>166</v>
      </c>
      <c r="J16" s="1">
        <v>3.0409999999999999</v>
      </c>
      <c r="K16" s="1">
        <v>-0.40300000000000002</v>
      </c>
      <c r="L16" s="1">
        <v>-0.40300000000000002</v>
      </c>
      <c r="M16" s="1">
        <v>-0.12</v>
      </c>
      <c r="N16" s="1">
        <v>-0.12</v>
      </c>
      <c r="O16" s="1">
        <v>0</v>
      </c>
      <c r="P16" s="1">
        <v>64.27</v>
      </c>
      <c r="Q16" s="1">
        <f t="shared" si="0"/>
        <v>1.9949999999999997</v>
      </c>
      <c r="R16" s="1">
        <f t="shared" si="1"/>
        <v>-0.59899999999999998</v>
      </c>
      <c r="S16" s="1">
        <v>8</v>
      </c>
      <c r="T16" s="1">
        <v>42.13238568729912</v>
      </c>
      <c r="U16" s="2">
        <v>3.6132656102915917</v>
      </c>
      <c r="V16" s="2">
        <v>58.3776669376239</v>
      </c>
      <c r="W16" s="2">
        <v>11.749558835538892</v>
      </c>
      <c r="X16" s="2">
        <v>50.97943852240769</v>
      </c>
      <c r="Y16" s="2">
        <v>2.2724786827432126</v>
      </c>
      <c r="Z16" s="2">
        <f t="shared" si="2"/>
        <v>98.948333552041078</v>
      </c>
      <c r="AA16" s="2">
        <f t="shared" si="3"/>
        <v>40.570666614417178</v>
      </c>
      <c r="AB16" s="2">
        <f t="shared" si="4"/>
        <v>95.335067941749486</v>
      </c>
      <c r="AC16" s="2">
        <f t="shared" si="5"/>
        <v>110.69789238757997</v>
      </c>
      <c r="AD16" s="2">
        <f t="shared" si="6"/>
        <v>47.968895029633387</v>
      </c>
    </row>
    <row r="17" spans="1:30" ht="23.25" x14ac:dyDescent="0.35">
      <c r="A17" s="2" t="s">
        <v>37</v>
      </c>
      <c r="B17" s="1">
        <v>0.26400000000000001</v>
      </c>
      <c r="C17" s="1">
        <v>-8.9999999999999993E-3</v>
      </c>
      <c r="D17" s="1">
        <v>-8.9999999999999993E-3</v>
      </c>
      <c r="E17" s="1">
        <v>-0.439</v>
      </c>
      <c r="F17" s="1">
        <v>-0.439</v>
      </c>
      <c r="G17" s="1">
        <v>1.8959999999999999</v>
      </c>
      <c r="H17" s="1">
        <v>1.8959999999999999</v>
      </c>
      <c r="I17" s="1">
        <v>169.13</v>
      </c>
      <c r="J17" s="1">
        <v>1.631</v>
      </c>
      <c r="K17" s="1">
        <v>-0.23400000000000001</v>
      </c>
      <c r="L17" s="1">
        <v>-0.23400000000000001</v>
      </c>
      <c r="M17" s="1">
        <v>-7.5999999999999998E-2</v>
      </c>
      <c r="N17" s="1">
        <v>-7.5999999999999998E-2</v>
      </c>
      <c r="O17" s="1">
        <v>0</v>
      </c>
      <c r="P17" s="1">
        <v>65.73</v>
      </c>
      <c r="Q17" s="1">
        <f t="shared" si="0"/>
        <v>1.0109999999999999</v>
      </c>
      <c r="R17" s="1">
        <f t="shared" si="1"/>
        <v>-0.63200000000000001</v>
      </c>
      <c r="S17" s="1">
        <v>9</v>
      </c>
      <c r="T17" s="1">
        <v>38.888160358439791</v>
      </c>
      <c r="U17" s="2">
        <v>11.963038239453681</v>
      </c>
      <c r="V17" s="2">
        <v>73.936169898172238</v>
      </c>
      <c r="W17" s="2">
        <v>50.950978098933504</v>
      </c>
      <c r="X17" s="2">
        <v>84.13834830074893</v>
      </c>
      <c r="Y17" s="2">
        <v>36.366959132417605</v>
      </c>
      <c r="Z17" s="2">
        <f t="shared" si="2"/>
        <v>82.71961920702374</v>
      </c>
      <c r="AA17" s="2">
        <f t="shared" si="3"/>
        <v>8.7834493088515018</v>
      </c>
      <c r="AB17" s="2">
        <f t="shared" si="4"/>
        <v>70.756580967570059</v>
      </c>
      <c r="AC17" s="2">
        <f t="shared" si="5"/>
        <v>133.67059730595724</v>
      </c>
      <c r="AD17" s="2">
        <f t="shared" si="6"/>
        <v>-1.4187290937251902</v>
      </c>
    </row>
    <row r="18" spans="1:30" ht="23.25" x14ac:dyDescent="0.35">
      <c r="A18" s="2" t="s">
        <v>38</v>
      </c>
      <c r="B18" s="1">
        <v>7.2999999999999995E-2</v>
      </c>
      <c r="C18" s="1">
        <v>7.0000000000000007E-2</v>
      </c>
      <c r="D18" s="1">
        <v>7.0000000000000007E-2</v>
      </c>
      <c r="E18" s="1">
        <v>-0.42899999999999999</v>
      </c>
      <c r="F18" s="1">
        <v>-0.42899999999999999</v>
      </c>
      <c r="G18" s="1">
        <v>1.867</v>
      </c>
      <c r="H18" s="1">
        <v>1.867</v>
      </c>
      <c r="I18" s="1">
        <v>167.15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68.069999999999993</v>
      </c>
      <c r="Q18" s="1">
        <f t="shared" si="0"/>
        <v>0</v>
      </c>
      <c r="R18" s="1">
        <f t="shared" si="1"/>
        <v>-0.64500000000000002</v>
      </c>
      <c r="S18" s="1">
        <v>10</v>
      </c>
      <c r="T18" s="1">
        <v>50.717508136905735</v>
      </c>
      <c r="U18" s="2">
        <v>14.167775608716738</v>
      </c>
      <c r="V18" s="2">
        <v>86.068894202618367</v>
      </c>
      <c r="W18" s="2">
        <v>29.321977825605259</v>
      </c>
      <c r="X18" s="2">
        <v>107.27086740822688</v>
      </c>
      <c r="Y18" s="2">
        <v>32.240933371898336</v>
      </c>
      <c r="Z18" s="2">
        <f t="shared" si="2"/>
        <v>145.9446260220584</v>
      </c>
      <c r="AA18" s="2">
        <f t="shared" si="3"/>
        <v>59.87573181944002</v>
      </c>
      <c r="AB18" s="2">
        <f t="shared" si="4"/>
        <v>131.77685041334166</v>
      </c>
      <c r="AC18" s="2">
        <f t="shared" si="5"/>
        <v>175.26660384766365</v>
      </c>
      <c r="AD18" s="2">
        <f t="shared" si="6"/>
        <v>38.673758613831509</v>
      </c>
    </row>
    <row r="19" spans="1:30" ht="23.25" x14ac:dyDescent="0.35">
      <c r="A19" s="2" t="s">
        <v>39</v>
      </c>
      <c r="B19" s="1">
        <v>0.42499999999999999</v>
      </c>
      <c r="C19" s="1">
        <v>-0.71</v>
      </c>
      <c r="D19" s="1">
        <v>-7.0999999999999994E-2</v>
      </c>
      <c r="E19" s="1">
        <v>-0.441</v>
      </c>
      <c r="F19" s="1">
        <v>-0.441</v>
      </c>
      <c r="G19" s="1">
        <v>1.919</v>
      </c>
      <c r="H19" s="1">
        <v>1.919</v>
      </c>
      <c r="I19" s="1">
        <v>179.77</v>
      </c>
      <c r="J19" s="1">
        <v>0.182</v>
      </c>
      <c r="K19" s="1">
        <v>0.30499999999999999</v>
      </c>
      <c r="L19" s="1">
        <v>0.30399999999999999</v>
      </c>
      <c r="M19" s="1">
        <v>0.09</v>
      </c>
      <c r="N19" s="1">
        <v>0.09</v>
      </c>
      <c r="O19" s="1">
        <v>0</v>
      </c>
      <c r="P19" s="1">
        <v>66.77</v>
      </c>
      <c r="Q19" s="1">
        <f t="shared" si="0"/>
        <v>0.97099999999999986</v>
      </c>
      <c r="R19" s="1">
        <f t="shared" si="1"/>
        <v>-1.238</v>
      </c>
      <c r="S19" s="1">
        <v>11</v>
      </c>
      <c r="T19" s="1">
        <v>347.83725659786955</v>
      </c>
      <c r="U19" s="2">
        <v>-11.740028269843606</v>
      </c>
      <c r="V19" s="3">
        <v>330</v>
      </c>
      <c r="W19" s="2">
        <v>14.018095855864658</v>
      </c>
      <c r="X19" s="2">
        <v>72.03586975522353</v>
      </c>
      <c r="Y19" s="2">
        <v>16.641892692622378</v>
      </c>
      <c r="Z19" s="2">
        <f t="shared" si="2"/>
        <v>359.63585293689289</v>
      </c>
      <c r="AA19" s="2">
        <f t="shared" si="3"/>
        <v>29.635852936892888</v>
      </c>
      <c r="AB19" s="2">
        <f t="shared" si="4"/>
        <v>371.37588120673649</v>
      </c>
      <c r="AC19" s="2">
        <f t="shared" si="5"/>
        <v>373.65394879275755</v>
      </c>
      <c r="AD19" s="2">
        <f t="shared" si="6"/>
        <v>287.59998318166936</v>
      </c>
    </row>
    <row r="20" spans="1:30" ht="23.25" x14ac:dyDescent="0.35">
      <c r="A20" s="2" t="s">
        <v>40</v>
      </c>
      <c r="B20" s="1">
        <v>0.70699999999999996</v>
      </c>
      <c r="C20" s="1">
        <v>-0.161</v>
      </c>
      <c r="D20" s="1">
        <v>5.2999999999999999E-2</v>
      </c>
      <c r="E20" s="1">
        <v>-0.45100000000000001</v>
      </c>
      <c r="F20" s="1">
        <v>-0.43099999999999999</v>
      </c>
      <c r="G20" s="1">
        <v>2.327</v>
      </c>
      <c r="H20" s="1">
        <v>2.3620000000000001</v>
      </c>
      <c r="I20" s="1">
        <v>128.19</v>
      </c>
      <c r="J20" s="1">
        <v>1.2789999999999999</v>
      </c>
      <c r="K20" s="1">
        <v>0.45800000000000002</v>
      </c>
      <c r="L20" s="1">
        <v>0.23599999999999999</v>
      </c>
      <c r="M20" s="1">
        <v>0.154</v>
      </c>
      <c r="N20" s="1">
        <v>0.10100000000000001</v>
      </c>
      <c r="O20" s="1">
        <v>1</v>
      </c>
      <c r="P20" s="1">
        <v>70.510000000000005</v>
      </c>
      <c r="Q20" s="1">
        <f t="shared" si="0"/>
        <v>2.2279999999999998</v>
      </c>
      <c r="R20" s="1">
        <f t="shared" si="1"/>
        <v>-0.28300000000000003</v>
      </c>
      <c r="S20" s="1">
        <v>3</v>
      </c>
      <c r="T20" s="1">
        <v>-8.9716065524300994</v>
      </c>
      <c r="U20" s="2">
        <v>-14.567402965235942</v>
      </c>
      <c r="V20" s="3">
        <v>220</v>
      </c>
      <c r="W20" s="3">
        <v>7</v>
      </c>
      <c r="X20" s="2">
        <v>48.198482665632582</v>
      </c>
      <c r="Y20" s="2">
        <v>-64.671811432512413</v>
      </c>
      <c r="Z20" s="2">
        <f t="shared" si="2"/>
        <v>311.30289113290905</v>
      </c>
      <c r="AA20" s="2">
        <f t="shared" si="3"/>
        <v>91.302891132909053</v>
      </c>
      <c r="AB20" s="2">
        <f t="shared" si="4"/>
        <v>325.870294098145</v>
      </c>
      <c r="AC20" s="2">
        <f t="shared" si="5"/>
        <v>318.30289113290905</v>
      </c>
      <c r="AD20" s="2">
        <f t="shared" si="6"/>
        <v>263.10440846727647</v>
      </c>
    </row>
    <row r="21" spans="1:30" ht="23.25" x14ac:dyDescent="0.35">
      <c r="A21" s="2" t="s">
        <v>41</v>
      </c>
      <c r="B21" s="1">
        <v>0.70099999999999996</v>
      </c>
      <c r="C21" s="1">
        <v>-0.19800000000000001</v>
      </c>
      <c r="D21" s="1">
        <v>-0.19800000000000001</v>
      </c>
      <c r="E21" s="1">
        <v>-0.443</v>
      </c>
      <c r="F21" s="1">
        <v>-0.443</v>
      </c>
      <c r="G21" s="1">
        <v>2.1638000000000002</v>
      </c>
      <c r="H21" s="1">
        <v>2.1638000000000002</v>
      </c>
      <c r="I21" s="1">
        <v>154.91</v>
      </c>
      <c r="J21" s="1">
        <v>2.9359999999999999</v>
      </c>
      <c r="K21" s="1">
        <v>0.35599999999999998</v>
      </c>
      <c r="L21" s="1">
        <v>0.35599999999999998</v>
      </c>
      <c r="M21" s="1">
        <v>0.156</v>
      </c>
      <c r="N21" s="1">
        <v>0.156</v>
      </c>
      <c r="O21" s="1">
        <v>1</v>
      </c>
      <c r="P21" s="1">
        <v>57.41</v>
      </c>
      <c r="Q21" s="1">
        <f t="shared" si="0"/>
        <v>3.96</v>
      </c>
      <c r="R21" s="1">
        <f t="shared" si="1"/>
        <v>-0.58100000000000018</v>
      </c>
      <c r="S21" s="1">
        <v>4</v>
      </c>
      <c r="T21" s="1">
        <v>6.0470936073320445</v>
      </c>
      <c r="U21" s="2">
        <v>9.2696690641050701</v>
      </c>
      <c r="V21" s="2">
        <v>63.761517237820954</v>
      </c>
      <c r="W21" s="2">
        <v>22.150844655389619</v>
      </c>
      <c r="X21" s="2">
        <v>33.604982230587893</v>
      </c>
      <c r="Y21" s="2">
        <v>-59.41416891744143</v>
      </c>
      <c r="Z21" s="2">
        <f t="shared" si="2"/>
        <v>143.89949279456573</v>
      </c>
      <c r="AA21" s="2">
        <f t="shared" si="3"/>
        <v>80.137975556744777</v>
      </c>
      <c r="AB21" s="2">
        <f t="shared" si="4"/>
        <v>134.62982373046066</v>
      </c>
      <c r="AC21" s="2">
        <f t="shared" si="5"/>
        <v>166.05033744995535</v>
      </c>
      <c r="AD21" s="2">
        <f t="shared" si="6"/>
        <v>110.29451056397784</v>
      </c>
    </row>
    <row r="22" spans="1:30" ht="23.25" x14ac:dyDescent="0.35">
      <c r="A22" s="2" t="s">
        <v>48</v>
      </c>
      <c r="B22" s="1">
        <v>0.76200000000000001</v>
      </c>
      <c r="C22" s="1">
        <v>-0.219</v>
      </c>
      <c r="D22" s="1">
        <v>-0.219</v>
      </c>
      <c r="E22" s="1">
        <v>-0.441</v>
      </c>
      <c r="F22" s="1">
        <v>-0.441</v>
      </c>
      <c r="G22" s="1">
        <v>2.1219999999999999</v>
      </c>
      <c r="H22" s="1">
        <v>2.1219999999999999</v>
      </c>
      <c r="I22" s="1">
        <v>156.57</v>
      </c>
      <c r="J22" s="1">
        <v>4.0579999999999998</v>
      </c>
      <c r="K22" s="1">
        <v>0.29599999999999999</v>
      </c>
      <c r="L22" s="1">
        <v>0.29599999999999999</v>
      </c>
      <c r="M22" s="1">
        <v>0.14000000000000001</v>
      </c>
      <c r="N22" s="1">
        <v>0.14000000000000001</v>
      </c>
      <c r="O22" s="1">
        <v>0</v>
      </c>
      <c r="P22" s="1">
        <v>60.24</v>
      </c>
      <c r="Q22" s="1">
        <f t="shared" si="0"/>
        <v>4.93</v>
      </c>
      <c r="R22" s="1">
        <f t="shared" si="1"/>
        <v>-0.55799999999999994</v>
      </c>
      <c r="S22" s="1">
        <v>5</v>
      </c>
      <c r="T22" s="1">
        <v>17.369824908653072</v>
      </c>
      <c r="U22" s="2">
        <v>10.635375399295526</v>
      </c>
      <c r="V22" s="3">
        <v>70</v>
      </c>
      <c r="W22" s="3">
        <v>21</v>
      </c>
      <c r="X22" s="2">
        <v>42.609685834633638</v>
      </c>
      <c r="Y22" s="3">
        <v>-19.2</v>
      </c>
      <c r="Z22" s="2">
        <f t="shared" si="2"/>
        <v>121.44506123392917</v>
      </c>
      <c r="AA22" s="2">
        <f t="shared" si="3"/>
        <v>51.445061233929167</v>
      </c>
      <c r="AB22" s="2">
        <f t="shared" si="4"/>
        <v>110.80968583463364</v>
      </c>
      <c r="AC22" s="2">
        <f t="shared" si="5"/>
        <v>142.44506123392915</v>
      </c>
      <c r="AD22" s="2">
        <f t="shared" si="6"/>
        <v>78.835375399295529</v>
      </c>
    </row>
    <row r="23" spans="1:30" ht="23.25" x14ac:dyDescent="0.35">
      <c r="A23" s="2" t="s">
        <v>42</v>
      </c>
      <c r="B23" s="1">
        <v>0.57699999999999996</v>
      </c>
      <c r="C23" s="1">
        <v>-0.14599999999999999</v>
      </c>
      <c r="D23" s="1">
        <v>-0.127</v>
      </c>
      <c r="E23" s="1">
        <v>-0.442</v>
      </c>
      <c r="F23" s="1">
        <v>-0.442</v>
      </c>
      <c r="G23" s="1">
        <v>2.125</v>
      </c>
      <c r="H23" s="1">
        <v>2.1259999999999999</v>
      </c>
      <c r="I23" s="1">
        <v>176.4</v>
      </c>
      <c r="J23" s="1">
        <v>5.12</v>
      </c>
      <c r="K23" s="1">
        <v>0.27</v>
      </c>
      <c r="L23" s="1">
        <v>0.28599999999999998</v>
      </c>
      <c r="M23" s="1">
        <v>0.126</v>
      </c>
      <c r="N23" s="1">
        <v>0.13200000000000001</v>
      </c>
      <c r="O23" s="1">
        <v>0</v>
      </c>
      <c r="P23" s="1">
        <v>62</v>
      </c>
      <c r="Q23" s="1">
        <f t="shared" si="0"/>
        <v>5.9340000000000002</v>
      </c>
      <c r="R23" s="1">
        <f t="shared" si="1"/>
        <v>-0.58000000000000007</v>
      </c>
      <c r="S23" s="1">
        <v>6</v>
      </c>
      <c r="T23" s="1">
        <v>33.919847943653167</v>
      </c>
      <c r="U23" s="2">
        <v>-18.569268829268822</v>
      </c>
      <c r="V23" s="2">
        <v>130.32072526914135</v>
      </c>
      <c r="W23" s="2">
        <v>30.522934034943091</v>
      </c>
      <c r="X23" s="2">
        <v>41.319383859563231</v>
      </c>
      <c r="Y23" s="2">
        <v>-19.115973282583354</v>
      </c>
      <c r="Z23" s="2">
        <f t="shared" si="2"/>
        <v>141.66387954707602</v>
      </c>
      <c r="AA23" s="2">
        <f t="shared" si="3"/>
        <v>11.343154277934673</v>
      </c>
      <c r="AB23" s="2">
        <f t="shared" si="4"/>
        <v>160.23314837634484</v>
      </c>
      <c r="AC23" s="2">
        <f t="shared" si="5"/>
        <v>172.18681358201911</v>
      </c>
      <c r="AD23" s="2">
        <f t="shared" si="6"/>
        <v>100.34449568751279</v>
      </c>
    </row>
    <row r="24" spans="1:30" ht="23.25" x14ac:dyDescent="0.35">
      <c r="A24" s="2" t="s">
        <v>43</v>
      </c>
      <c r="B24" s="1">
        <v>0.85699999999999998</v>
      </c>
      <c r="C24" s="1">
        <v>-0.25700000000000001</v>
      </c>
      <c r="D24" s="1">
        <v>-0.25700000000000001</v>
      </c>
      <c r="E24" s="1">
        <v>-0.46100000000000002</v>
      </c>
      <c r="F24" s="1">
        <v>-0.46100000000000002</v>
      </c>
      <c r="G24" s="1">
        <v>1.9950000000000001</v>
      </c>
      <c r="H24" s="1">
        <v>1.9950000000000001</v>
      </c>
      <c r="I24" s="1">
        <v>167.94</v>
      </c>
      <c r="J24" s="1">
        <v>4.2809999999999997</v>
      </c>
      <c r="K24" s="1">
        <v>-0.503</v>
      </c>
      <c r="L24" s="1">
        <v>-0.503</v>
      </c>
      <c r="M24" s="1">
        <v>-0.13700000000000001</v>
      </c>
      <c r="N24" s="1">
        <v>-0.13700000000000001</v>
      </c>
      <c r="O24" s="1">
        <v>1</v>
      </c>
      <c r="P24" s="1">
        <v>67.44</v>
      </c>
      <c r="Q24" s="1">
        <f t="shared" si="0"/>
        <v>3.0009999999999994</v>
      </c>
      <c r="R24" s="1">
        <f t="shared" si="1"/>
        <v>-0.57900000000000007</v>
      </c>
      <c r="S24" s="1">
        <v>7</v>
      </c>
      <c r="T24" s="1">
        <v>25.32290811815642</v>
      </c>
      <c r="U24" s="2">
        <v>2.3215458646934621</v>
      </c>
      <c r="V24" s="2">
        <v>70.586767038856124</v>
      </c>
      <c r="W24" s="2">
        <v>10.490867879278312</v>
      </c>
      <c r="X24" s="2">
        <v>32.483184844871175</v>
      </c>
      <c r="Y24" s="2">
        <v>-42.330723047238962</v>
      </c>
      <c r="Z24" s="2">
        <f t="shared" si="2"/>
        <v>137.23135291638141</v>
      </c>
      <c r="AA24" s="2">
        <f t="shared" si="3"/>
        <v>66.644585877525287</v>
      </c>
      <c r="AB24" s="2">
        <f t="shared" si="4"/>
        <v>134.90980705168795</v>
      </c>
      <c r="AC24" s="2">
        <f t="shared" si="5"/>
        <v>147.72222079565972</v>
      </c>
      <c r="AD24" s="2">
        <f t="shared" si="6"/>
        <v>104.74816807151024</v>
      </c>
    </row>
    <row r="25" spans="1:30" ht="23.25" x14ac:dyDescent="0.35">
      <c r="A25" s="2" t="s">
        <v>44</v>
      </c>
      <c r="B25" s="1">
        <v>0.68899999999999995</v>
      </c>
      <c r="C25" s="1">
        <v>-0.19700000000000001</v>
      </c>
      <c r="D25" s="1">
        <v>-0.19700000000000001</v>
      </c>
      <c r="E25" s="1">
        <v>-0.45</v>
      </c>
      <c r="F25" s="1">
        <v>-0.45</v>
      </c>
      <c r="G25" s="1">
        <v>1.9830000000000001</v>
      </c>
      <c r="H25" s="1">
        <v>1.9810000000000001</v>
      </c>
      <c r="I25" s="1">
        <v>168.71</v>
      </c>
      <c r="J25" s="1">
        <v>3.1080000000000001</v>
      </c>
      <c r="K25" s="1">
        <v>-0.42199999999999999</v>
      </c>
      <c r="L25" s="1">
        <v>-0.42099999999999999</v>
      </c>
      <c r="M25" s="1">
        <v>-0.124</v>
      </c>
      <c r="N25" s="1">
        <v>-0.122</v>
      </c>
      <c r="O25" s="1">
        <v>0</v>
      </c>
      <c r="P25" s="1">
        <v>68.92</v>
      </c>
      <c r="Q25" s="1">
        <f t="shared" si="0"/>
        <v>2.0190000000000001</v>
      </c>
      <c r="R25" s="1">
        <f t="shared" si="1"/>
        <v>-0.60500000000000009</v>
      </c>
      <c r="S25" s="1">
        <v>8</v>
      </c>
      <c r="T25" s="1">
        <v>49.9786399287891</v>
      </c>
      <c r="U25" s="2">
        <v>7.7394489003388571</v>
      </c>
      <c r="V25" s="2">
        <v>78.002019198712105</v>
      </c>
      <c r="W25" s="2">
        <v>19.021379930933108</v>
      </c>
      <c r="X25" s="2">
        <v>53.883372795254672</v>
      </c>
      <c r="Y25" s="2">
        <v>-4.4782594270891396</v>
      </c>
      <c r="Z25" s="2">
        <f t="shared" si="2"/>
        <v>125.08172039046167</v>
      </c>
      <c r="AA25" s="2">
        <f t="shared" si="3"/>
        <v>47.079701191749564</v>
      </c>
      <c r="AB25" s="2">
        <f t="shared" si="4"/>
        <v>117.34227149012281</v>
      </c>
      <c r="AC25" s="2">
        <f t="shared" si="5"/>
        <v>144.10310032139478</v>
      </c>
      <c r="AD25" s="2">
        <f t="shared" si="6"/>
        <v>71.198347595206997</v>
      </c>
    </row>
    <row r="26" spans="1:30" ht="23.25" x14ac:dyDescent="0.35">
      <c r="A26" s="2" t="s">
        <v>45</v>
      </c>
      <c r="B26" s="1">
        <v>0.29699999999999999</v>
      </c>
      <c r="C26" s="1">
        <v>-1.4999999999999999E-2</v>
      </c>
      <c r="D26" s="1">
        <v>-2.5000000000000001E-2</v>
      </c>
      <c r="E26" s="1">
        <v>-0.441</v>
      </c>
      <c r="F26" s="1">
        <v>-0.443</v>
      </c>
      <c r="G26" s="1">
        <v>1.9059999999999999</v>
      </c>
      <c r="H26" s="1">
        <v>1.9020999999999999</v>
      </c>
      <c r="I26" s="1">
        <v>170.33</v>
      </c>
      <c r="J26" s="1">
        <v>1.6779999999999999</v>
      </c>
      <c r="K26" s="1">
        <v>-0.23499999999999999</v>
      </c>
      <c r="L26" s="1">
        <v>-0.25900000000000001</v>
      </c>
      <c r="M26" s="1">
        <v>-7.9000000000000001E-2</v>
      </c>
      <c r="N26" s="1">
        <v>-8.5999999999999993E-2</v>
      </c>
      <c r="O26" s="1">
        <v>0</v>
      </c>
      <c r="P26" s="1">
        <v>70.13</v>
      </c>
      <c r="Q26" s="1">
        <f t="shared" si="0"/>
        <v>1.0190000000000001</v>
      </c>
      <c r="R26" s="1">
        <f t="shared" si="1"/>
        <v>-0.627</v>
      </c>
      <c r="S26" s="1">
        <v>9</v>
      </c>
      <c r="T26" s="4">
        <v>50.190593917814567</v>
      </c>
      <c r="U26" s="2">
        <v>5.393879710392639</v>
      </c>
      <c r="V26" s="3">
        <v>98.852396663014403</v>
      </c>
      <c r="W26" s="2">
        <v>53.408524865253639</v>
      </c>
      <c r="X26" s="2">
        <v>79.258515236306039</v>
      </c>
      <c r="Y26" s="2">
        <v>29.111494903358107</v>
      </c>
      <c r="Z26" s="2">
        <f t="shared" si="2"/>
        <v>100.98477184110135</v>
      </c>
      <c r="AA26" s="2">
        <f t="shared" si="3"/>
        <v>2.1323751780869316</v>
      </c>
      <c r="AB26" s="2">
        <f t="shared" si="4"/>
        <v>95.590892130708696</v>
      </c>
      <c r="AC26" s="2">
        <f t="shared" si="5"/>
        <v>154.39329670635499</v>
      </c>
      <c r="AD26" s="2">
        <f t="shared" si="6"/>
        <v>21.726256604795296</v>
      </c>
    </row>
    <row r="27" spans="1:30" ht="23.25" x14ac:dyDescent="0.35">
      <c r="A27" s="2" t="s">
        <v>46</v>
      </c>
      <c r="B27" s="1">
        <v>9.1999999999999998E-2</v>
      </c>
      <c r="C27" s="1">
        <v>6.7000000000000004E-2</v>
      </c>
      <c r="D27" s="1">
        <v>6.7000000000000004E-2</v>
      </c>
      <c r="E27" s="1">
        <v>-0.43099999999999999</v>
      </c>
      <c r="F27" s="1">
        <v>-0.43099999999999999</v>
      </c>
      <c r="G27" s="1">
        <v>1.8779999999999999</v>
      </c>
      <c r="H27" s="1">
        <v>1.88</v>
      </c>
      <c r="I27" s="1">
        <v>167.99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70.260000000000005</v>
      </c>
      <c r="Q27" s="1">
        <f t="shared" si="0"/>
        <v>0</v>
      </c>
      <c r="R27" s="1">
        <f t="shared" si="1"/>
        <v>-0.63600000000000001</v>
      </c>
      <c r="S27" s="1">
        <v>10</v>
      </c>
      <c r="T27" s="1">
        <v>52.889109072469637</v>
      </c>
      <c r="U27" s="2">
        <v>5.519142314768942</v>
      </c>
      <c r="V27" s="2">
        <v>82.412777808681994</v>
      </c>
      <c r="W27" s="2">
        <v>55.680183604302329</v>
      </c>
      <c r="X27" s="2">
        <v>94.796043077102013</v>
      </c>
      <c r="Y27" s="2">
        <v>58.004334752912655</v>
      </c>
      <c r="Z27" s="2">
        <f>U27+V27-W27+X27-Y27</f>
        <v>69.043444843337966</v>
      </c>
      <c r="AA27" s="2">
        <f t="shared" si="3"/>
        <v>-13.369332965344029</v>
      </c>
      <c r="AB27" s="2">
        <f t="shared" si="4"/>
        <v>63.524302528569024</v>
      </c>
      <c r="AC27" s="2">
        <f t="shared" si="5"/>
        <v>124.72362844764029</v>
      </c>
      <c r="AD27" s="2">
        <f>U27+V27-W27-Y27</f>
        <v>-25.752598233764047</v>
      </c>
    </row>
    <row r="28" spans="1:30" ht="23.25" x14ac:dyDescent="0.35">
      <c r="A28" s="2" t="s">
        <v>47</v>
      </c>
      <c r="B28" s="1">
        <v>0.442</v>
      </c>
      <c r="C28" s="1">
        <v>-5.5899999999999998E-2</v>
      </c>
      <c r="D28" s="1">
        <v>-8.4000000000000005E-2</v>
      </c>
      <c r="E28" s="1">
        <v>-0.44600000000000001</v>
      </c>
      <c r="F28" s="1">
        <v>-0.44700000000000001</v>
      </c>
      <c r="G28" s="1">
        <v>1.9330000000000001</v>
      </c>
      <c r="H28" s="1">
        <v>1.9330000000000001</v>
      </c>
      <c r="I28" s="1">
        <v>176.8</v>
      </c>
      <c r="J28" s="1">
        <v>0.17899999999999999</v>
      </c>
      <c r="K28" s="1">
        <v>0.32</v>
      </c>
      <c r="L28" s="1">
        <v>0.29099999999999998</v>
      </c>
      <c r="M28" s="1">
        <v>9.2999999999999999E-2</v>
      </c>
      <c r="N28" s="1">
        <v>8.4000000000000005E-2</v>
      </c>
      <c r="O28" s="1">
        <v>0</v>
      </c>
      <c r="P28" s="1">
        <v>69.760000000000005</v>
      </c>
      <c r="Q28" s="1">
        <f t="shared" si="0"/>
        <v>0.96699999999999997</v>
      </c>
      <c r="R28" s="1">
        <f t="shared" si="1"/>
        <v>-0.59089999999999998</v>
      </c>
      <c r="S28" s="1">
        <v>11</v>
      </c>
      <c r="T28" s="1">
        <v>339.82767000344256</v>
      </c>
      <c r="U28" s="2">
        <v>-13.294718093918164</v>
      </c>
      <c r="V28" s="3">
        <v>320</v>
      </c>
      <c r="W28" s="2">
        <v>-1.3143515550455049</v>
      </c>
      <c r="X28" s="2">
        <v>69.12584432232029</v>
      </c>
      <c r="Y28" s="2">
        <v>6.1500796337882093</v>
      </c>
      <c r="Z28" s="2">
        <f t="shared" si="2"/>
        <v>370.99539814965942</v>
      </c>
      <c r="AA28" s="2">
        <f t="shared" si="3"/>
        <v>50.995398149659422</v>
      </c>
      <c r="AB28" s="2">
        <f t="shared" si="4"/>
        <v>384.29011624357759</v>
      </c>
      <c r="AC28" s="2">
        <f t="shared" si="5"/>
        <v>369.68104659461392</v>
      </c>
      <c r="AD28" s="2">
        <f t="shared" si="6"/>
        <v>301.86955382733913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Nettemchandra sekhar</dc:creator>
  <cp:lastModifiedBy>Nettem Chandra  Sekhar</cp:lastModifiedBy>
  <dcterms:created xsi:type="dcterms:W3CDTF">2015-06-05T18:17:20Z</dcterms:created>
  <dcterms:modified xsi:type="dcterms:W3CDTF">2025-03-01T12:24:38Z</dcterms:modified>
</cp:coreProperties>
</file>